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studentsecpi-my.sharepoint.com/personal/joszim1500_students_ecpi_edu/Documents/ECPI master file/SDC385 Data Analytics Tools/"/>
    </mc:Choice>
  </mc:AlternateContent>
  <xr:revisionPtr revIDLastSave="132" documentId="13_ncr:1_{F6936F38-7CB6-4895-81B4-E361278385E6}" xr6:coauthVersionLast="47" xr6:coauthVersionMax="47" xr10:uidLastSave="{57C846F5-51E3-47A8-973F-FED5BE6D6CCE}"/>
  <bookViews>
    <workbookView xWindow="-120" yWindow="-120" windowWidth="29040" windowHeight="15720" xr2:uid="{00000000-000D-0000-FFFF-FFFF00000000}"/>
  </bookViews>
  <sheets>
    <sheet name="Transactions" sheetId="1" r:id="rId1"/>
    <sheet name="State-Regions" sheetId="2" r:id="rId2"/>
    <sheet name="Excel-Functions" sheetId="3" r:id="rId3"/>
    <sheet name="PivotTables" sheetId="4" r:id="rId4"/>
  </sheets>
  <definedNames>
    <definedName name="Slicer_Region">#N/A</definedName>
  </definedNames>
  <calcPr calcId="191028"/>
  <pivotCaches>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C7" i="3"/>
  <c r="C11" i="3"/>
  <c r="C3" i="3"/>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G274" i="1"/>
  <c r="K274" i="1" s="1"/>
  <c r="G244" i="1"/>
  <c r="G235" i="1"/>
  <c r="K235" i="1" s="1"/>
  <c r="G229" i="1"/>
  <c r="K229" i="1" s="1"/>
  <c r="G220" i="1"/>
  <c r="G151" i="1"/>
  <c r="K151" i="1" s="1"/>
  <c r="G94" i="1"/>
  <c r="K94" i="1" s="1"/>
  <c r="G68" i="1"/>
  <c r="K68" i="1" s="1"/>
  <c r="G48" i="1"/>
  <c r="K48" i="1" s="1"/>
  <c r="G23" i="1"/>
  <c r="K23" i="1" s="1"/>
  <c r="K277" i="1"/>
  <c r="K249" i="1"/>
  <c r="K152" i="1"/>
  <c r="K73" i="1"/>
  <c r="K4" i="1"/>
  <c r="K5" i="1"/>
  <c r="K6" i="1"/>
  <c r="K7" i="1"/>
  <c r="K8" i="1"/>
  <c r="K9" i="1"/>
  <c r="K10" i="1"/>
  <c r="K11" i="1"/>
  <c r="K12" i="1"/>
  <c r="K13" i="1"/>
  <c r="K14" i="1"/>
  <c r="K15" i="1"/>
  <c r="K16" i="1"/>
  <c r="K17" i="1"/>
  <c r="K18" i="1"/>
  <c r="K19" i="1"/>
  <c r="K20" i="1"/>
  <c r="K21" i="1"/>
  <c r="K22" i="1"/>
  <c r="K24" i="1"/>
  <c r="K25" i="1"/>
  <c r="K26" i="1"/>
  <c r="K27" i="1"/>
  <c r="K28" i="1"/>
  <c r="K29" i="1"/>
  <c r="K30" i="1"/>
  <c r="K31" i="1"/>
  <c r="K32" i="1"/>
  <c r="K33" i="1"/>
  <c r="K34" i="1"/>
  <c r="K35" i="1"/>
  <c r="K36" i="1"/>
  <c r="K37" i="1"/>
  <c r="K38" i="1"/>
  <c r="K39" i="1"/>
  <c r="K40" i="1"/>
  <c r="K41" i="1"/>
  <c r="K42" i="1"/>
  <c r="K43" i="1"/>
  <c r="K44" i="1"/>
  <c r="K45" i="1"/>
  <c r="K46" i="1"/>
  <c r="K47" i="1"/>
  <c r="K49" i="1"/>
  <c r="K50" i="1"/>
  <c r="K51" i="1"/>
  <c r="K52" i="1"/>
  <c r="K53" i="1"/>
  <c r="K54" i="1"/>
  <c r="K55" i="1"/>
  <c r="K56" i="1"/>
  <c r="K57" i="1"/>
  <c r="K58" i="1"/>
  <c r="K59" i="1"/>
  <c r="K60" i="1"/>
  <c r="K61" i="1"/>
  <c r="K62" i="1"/>
  <c r="K63" i="1"/>
  <c r="K64" i="1"/>
  <c r="K65" i="1"/>
  <c r="K66" i="1"/>
  <c r="K67" i="1"/>
  <c r="K69" i="1"/>
  <c r="K70" i="1"/>
  <c r="K71" i="1"/>
  <c r="K72" i="1"/>
  <c r="K74" i="1"/>
  <c r="K75" i="1"/>
  <c r="K76" i="1"/>
  <c r="K77" i="1"/>
  <c r="K78" i="1"/>
  <c r="K79" i="1"/>
  <c r="K80" i="1"/>
  <c r="K81" i="1"/>
  <c r="K82" i="1"/>
  <c r="K83" i="1"/>
  <c r="K84" i="1"/>
  <c r="K85" i="1"/>
  <c r="K86" i="1"/>
  <c r="K87" i="1"/>
  <c r="K88" i="1"/>
  <c r="K89" i="1"/>
  <c r="K90" i="1"/>
  <c r="K91" i="1"/>
  <c r="K92" i="1"/>
  <c r="K93"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30" i="1"/>
  <c r="K231" i="1"/>
  <c r="K232" i="1"/>
  <c r="K233" i="1"/>
  <c r="K234" i="1"/>
  <c r="K236" i="1"/>
  <c r="K237" i="1"/>
  <c r="K238" i="1"/>
  <c r="K239" i="1"/>
  <c r="K240" i="1"/>
  <c r="K241" i="1"/>
  <c r="K242" i="1"/>
  <c r="K243" i="1"/>
  <c r="K244" i="1"/>
  <c r="K245" i="1"/>
  <c r="K246" i="1"/>
  <c r="K247" i="1"/>
  <c r="K248" i="1"/>
  <c r="K250" i="1"/>
  <c r="K251" i="1"/>
  <c r="K252" i="1"/>
  <c r="K253" i="1"/>
  <c r="K254" i="1"/>
  <c r="K255" i="1"/>
  <c r="K256" i="1"/>
  <c r="K257" i="1"/>
  <c r="K258" i="1"/>
  <c r="K259" i="1"/>
  <c r="K260" i="1"/>
  <c r="K261" i="1"/>
  <c r="K262" i="1"/>
  <c r="K263" i="1"/>
  <c r="K264" i="1"/>
  <c r="K265" i="1"/>
  <c r="K266" i="1"/>
  <c r="K267" i="1"/>
  <c r="K268" i="1"/>
  <c r="K269" i="1"/>
  <c r="K270" i="1"/>
  <c r="K271" i="1"/>
  <c r="K272" i="1"/>
  <c r="K273" i="1"/>
  <c r="K275" i="1"/>
  <c r="K276"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 i="1"/>
  <c r="K2" i="1"/>
  <c r="N2" i="1" l="1"/>
</calcChain>
</file>

<file path=xl/sharedStrings.xml><?xml version="1.0" encoding="utf-8"?>
<sst xmlns="http://schemas.openxmlformats.org/spreadsheetml/2006/main" count="1411" uniqueCount="111">
  <si>
    <t>Transaction ID</t>
  </si>
  <si>
    <t>Date</t>
  </si>
  <si>
    <t>Product ID</t>
  </si>
  <si>
    <t>Product Name</t>
  </si>
  <si>
    <t>Category</t>
  </si>
  <si>
    <t>Quantity Sold</t>
  </si>
  <si>
    <t>Unit Price</t>
  </si>
  <si>
    <t>Customer ID</t>
  </si>
  <si>
    <t>State</t>
  </si>
  <si>
    <t>Total Sales</t>
  </si>
  <si>
    <t>Student ID</t>
  </si>
  <si>
    <t>Camping Tent</t>
  </si>
  <si>
    <t>Sports &amp; Outdoors</t>
  </si>
  <si>
    <t>North Dakota</t>
  </si>
  <si>
    <t>Electronics</t>
  </si>
  <si>
    <t>Minnesota</t>
  </si>
  <si>
    <t>Yoga Mat</t>
  </si>
  <si>
    <t>Delaware</t>
  </si>
  <si>
    <t>Fitness Tracker</t>
  </si>
  <si>
    <t>North Carolina</t>
  </si>
  <si>
    <t>Wall Clock</t>
  </si>
  <si>
    <t>Massachusetts</t>
  </si>
  <si>
    <t>Kitchen Knife Set</t>
  </si>
  <si>
    <t>Kentucky</t>
  </si>
  <si>
    <t>Thermal Flask</t>
  </si>
  <si>
    <t>Home Furnishing</t>
  </si>
  <si>
    <t>Idaho</t>
  </si>
  <si>
    <t>Blender</t>
  </si>
  <si>
    <t>Mississippi</t>
  </si>
  <si>
    <t>Arkansas</t>
  </si>
  <si>
    <t>Bed Sheet Set</t>
  </si>
  <si>
    <t>Home &amp; Kitchen</t>
  </si>
  <si>
    <t>Illinois</t>
  </si>
  <si>
    <t>Indiana</t>
  </si>
  <si>
    <t>Running Shoes</t>
  </si>
  <si>
    <t>Alaska</t>
  </si>
  <si>
    <t>Coffee Maker</t>
  </si>
  <si>
    <t>Vermont</t>
  </si>
  <si>
    <t>Waterproof Backpack</t>
  </si>
  <si>
    <t>Michigan</t>
  </si>
  <si>
    <t>Microwave Oven</t>
  </si>
  <si>
    <t>Ohio</t>
  </si>
  <si>
    <t>Colorado</t>
  </si>
  <si>
    <t>Wireless Mouse</t>
  </si>
  <si>
    <t>Bluetooth Headphones</t>
  </si>
  <si>
    <t>South Carolina</t>
  </si>
  <si>
    <t>Virginia</t>
  </si>
  <si>
    <t>Non-stick Pan</t>
  </si>
  <si>
    <t>Oregon</t>
  </si>
  <si>
    <t>Georgia</t>
  </si>
  <si>
    <t>Rhode Island</t>
  </si>
  <si>
    <t>Ergonomic Chair</t>
  </si>
  <si>
    <t>Smart Watch</t>
  </si>
  <si>
    <t>Wyoming</t>
  </si>
  <si>
    <t>South Dakota</t>
  </si>
  <si>
    <t>Connecticut</t>
  </si>
  <si>
    <t>Montana</t>
  </si>
  <si>
    <t>Maryland</t>
  </si>
  <si>
    <t>Missouri</t>
  </si>
  <si>
    <t>Portable Charger</t>
  </si>
  <si>
    <t>Tennessee</t>
  </si>
  <si>
    <t>LED Desk Lamp</t>
  </si>
  <si>
    <t>Louisiana</t>
  </si>
  <si>
    <t>Kansas</t>
  </si>
  <si>
    <t>Hawaii</t>
  </si>
  <si>
    <t>non-stick pan</t>
  </si>
  <si>
    <t>New Jersey</t>
  </si>
  <si>
    <t>Arizona</t>
  </si>
  <si>
    <t>New Hampshire</t>
  </si>
  <si>
    <t>blender</t>
  </si>
  <si>
    <t>Washington</t>
  </si>
  <si>
    <t>Florida</t>
  </si>
  <si>
    <t>thermal flask</t>
  </si>
  <si>
    <t>yoga mat</t>
  </si>
  <si>
    <t>Cotton Towels</t>
  </si>
  <si>
    <t>Nebraska</t>
  </si>
  <si>
    <t>New Mexico</t>
  </si>
  <si>
    <t>West Virginia</t>
  </si>
  <si>
    <t>Oklahoma</t>
  </si>
  <si>
    <t>Iowa</t>
  </si>
  <si>
    <t>New York</t>
  </si>
  <si>
    <t>Alabama</t>
  </si>
  <si>
    <t>California</t>
  </si>
  <si>
    <t>Pennsylvania</t>
  </si>
  <si>
    <t>Maine</t>
  </si>
  <si>
    <t>Nevada</t>
  </si>
  <si>
    <t>Utah</t>
  </si>
  <si>
    <t>Texas</t>
  </si>
  <si>
    <t>Wisconsin</t>
  </si>
  <si>
    <t>coffee maker</t>
  </si>
  <si>
    <t>running shoes</t>
  </si>
  <si>
    <t>smart watch</t>
  </si>
  <si>
    <t>Region</t>
  </si>
  <si>
    <t>Northeast</t>
  </si>
  <si>
    <t>Midwest</t>
  </si>
  <si>
    <t>South</t>
  </si>
  <si>
    <t>West</t>
  </si>
  <si>
    <t>SUMIFS</t>
  </si>
  <si>
    <t>StudentID</t>
  </si>
  <si>
    <t>COUNTIFS</t>
  </si>
  <si>
    <t>High Value Sale</t>
  </si>
  <si>
    <t>Count</t>
  </si>
  <si>
    <t>AVERAGEIFS</t>
  </si>
  <si>
    <t>Average Sales</t>
  </si>
  <si>
    <t>UNKNOWN</t>
  </si>
  <si>
    <t>JOSZIM1500</t>
  </si>
  <si>
    <t>Blank Count</t>
  </si>
  <si>
    <t>Row Labels</t>
  </si>
  <si>
    <t>Grand Total</t>
  </si>
  <si>
    <t>Sum of Total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</si>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</sst>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m/d/yy\ h:mm\ AM/PM;@"/>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 GP_Excel_Retail_Sales_Data_Original (2).xlsx]PivotTables!PivotTable1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JOSZIM1500</a:t>
            </a:r>
            <a:r>
              <a:rPr lang="en-US" baseline="0"/>
              <a:t> 3/9/2026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PivotTables!$B$1:$B$2</c:f>
              <c:strCache>
                <c:ptCount val="1"/>
                <c:pt idx="0">
                  <c:v>Midwest</c:v>
                </c:pt>
              </c:strCache>
            </c:strRef>
          </c:tx>
          <c:spPr>
            <a:solidFill>
              <a:schemeClr val="accent1"/>
            </a:solidFill>
            <a:ln>
              <a:noFill/>
            </a:ln>
            <a:effectLst/>
          </c:spPr>
          <c:invertIfNegative val="0"/>
          <c:cat>
            <c:strRef>
              <c:f>PivotTables!$A$3:$A$7</c:f>
              <c:strCache>
                <c:ptCount val="4"/>
                <c:pt idx="0">
                  <c:v>Electronics</c:v>
                </c:pt>
                <c:pt idx="1">
                  <c:v>Home &amp; Kitchen</c:v>
                </c:pt>
                <c:pt idx="2">
                  <c:v>Home Furnishing</c:v>
                </c:pt>
                <c:pt idx="3">
                  <c:v>Sports &amp; Outdoors</c:v>
                </c:pt>
              </c:strCache>
            </c:strRef>
          </c:cat>
          <c:val>
            <c:numRef>
              <c:f>PivotTables!$B$3:$B$7</c:f>
              <c:numCache>
                <c:formatCode>"$"#,##0.00</c:formatCode>
                <c:ptCount val="4"/>
                <c:pt idx="0">
                  <c:v>48639.245153844036</c:v>
                </c:pt>
                <c:pt idx="1">
                  <c:v>56082.149716278982</c:v>
                </c:pt>
                <c:pt idx="2">
                  <c:v>54876.708263265886</c:v>
                </c:pt>
                <c:pt idx="3">
                  <c:v>53232.95777769063</c:v>
                </c:pt>
              </c:numCache>
            </c:numRef>
          </c:val>
          <c:extLst>
            <c:ext xmlns:c16="http://schemas.microsoft.com/office/drawing/2014/chart" uri="{C3380CC4-5D6E-409C-BE32-E72D297353CC}">
              <c16:uniqueId val="{00000000-8FB0-4E1A-8089-D26A0E0220AF}"/>
            </c:ext>
          </c:extLst>
        </c:ser>
        <c:ser>
          <c:idx val="1"/>
          <c:order val="1"/>
          <c:tx>
            <c:strRef>
              <c:f>PivotTables!$C$1:$C$2</c:f>
              <c:strCache>
                <c:ptCount val="1"/>
                <c:pt idx="0">
                  <c:v>Northeast</c:v>
                </c:pt>
              </c:strCache>
            </c:strRef>
          </c:tx>
          <c:spPr>
            <a:solidFill>
              <a:schemeClr val="accent2"/>
            </a:solidFill>
            <a:ln>
              <a:noFill/>
            </a:ln>
            <a:effectLst/>
          </c:spPr>
          <c:invertIfNegative val="0"/>
          <c:cat>
            <c:strRef>
              <c:f>PivotTables!$A$3:$A$7</c:f>
              <c:strCache>
                <c:ptCount val="4"/>
                <c:pt idx="0">
                  <c:v>Electronics</c:v>
                </c:pt>
                <c:pt idx="1">
                  <c:v>Home &amp; Kitchen</c:v>
                </c:pt>
                <c:pt idx="2">
                  <c:v>Home Furnishing</c:v>
                </c:pt>
                <c:pt idx="3">
                  <c:v>Sports &amp; Outdoors</c:v>
                </c:pt>
              </c:strCache>
            </c:strRef>
          </c:cat>
          <c:val>
            <c:numRef>
              <c:f>PivotTables!$C$3:$C$7</c:f>
              <c:numCache>
                <c:formatCode>"$"#,##0.00</c:formatCode>
                <c:ptCount val="4"/>
                <c:pt idx="0">
                  <c:v>36473.430398397933</c:v>
                </c:pt>
                <c:pt idx="1">
                  <c:v>20854.72176865728</c:v>
                </c:pt>
                <c:pt idx="2">
                  <c:v>39041.618178679375</c:v>
                </c:pt>
                <c:pt idx="3">
                  <c:v>22010.288081919669</c:v>
                </c:pt>
              </c:numCache>
            </c:numRef>
          </c:val>
          <c:extLst>
            <c:ext xmlns:c16="http://schemas.microsoft.com/office/drawing/2014/chart" uri="{C3380CC4-5D6E-409C-BE32-E72D297353CC}">
              <c16:uniqueId val="{00000008-8FB0-4E1A-8089-D26A0E0220AF}"/>
            </c:ext>
          </c:extLst>
        </c:ser>
        <c:ser>
          <c:idx val="2"/>
          <c:order val="2"/>
          <c:tx>
            <c:strRef>
              <c:f>PivotTables!$D$1:$D$2</c:f>
              <c:strCache>
                <c:ptCount val="1"/>
                <c:pt idx="0">
                  <c:v>South</c:v>
                </c:pt>
              </c:strCache>
            </c:strRef>
          </c:tx>
          <c:spPr>
            <a:solidFill>
              <a:schemeClr val="accent3"/>
            </a:solidFill>
            <a:ln>
              <a:noFill/>
            </a:ln>
            <a:effectLst/>
          </c:spPr>
          <c:invertIfNegative val="0"/>
          <c:cat>
            <c:strRef>
              <c:f>PivotTables!$A$3:$A$7</c:f>
              <c:strCache>
                <c:ptCount val="4"/>
                <c:pt idx="0">
                  <c:v>Electronics</c:v>
                </c:pt>
                <c:pt idx="1">
                  <c:v>Home &amp; Kitchen</c:v>
                </c:pt>
                <c:pt idx="2">
                  <c:v>Home Furnishing</c:v>
                </c:pt>
                <c:pt idx="3">
                  <c:v>Sports &amp; Outdoors</c:v>
                </c:pt>
              </c:strCache>
            </c:strRef>
          </c:cat>
          <c:val>
            <c:numRef>
              <c:f>PivotTables!$D$3:$D$7</c:f>
              <c:numCache>
                <c:formatCode>"$"#,##0.00</c:formatCode>
                <c:ptCount val="4"/>
                <c:pt idx="0">
                  <c:v>37267.108116524163</c:v>
                </c:pt>
                <c:pt idx="1">
                  <c:v>46297.369235503924</c:v>
                </c:pt>
                <c:pt idx="2">
                  <c:v>79348.33777246844</c:v>
                </c:pt>
                <c:pt idx="3">
                  <c:v>64097.925887722464</c:v>
                </c:pt>
              </c:numCache>
            </c:numRef>
          </c:val>
          <c:extLst>
            <c:ext xmlns:c16="http://schemas.microsoft.com/office/drawing/2014/chart" uri="{C3380CC4-5D6E-409C-BE32-E72D297353CC}">
              <c16:uniqueId val="{00000009-8FB0-4E1A-8089-D26A0E0220AF}"/>
            </c:ext>
          </c:extLst>
        </c:ser>
        <c:ser>
          <c:idx val="3"/>
          <c:order val="3"/>
          <c:tx>
            <c:strRef>
              <c:f>PivotTables!$E$1:$E$2</c:f>
              <c:strCache>
                <c:ptCount val="1"/>
                <c:pt idx="0">
                  <c:v>West</c:v>
                </c:pt>
              </c:strCache>
            </c:strRef>
          </c:tx>
          <c:spPr>
            <a:solidFill>
              <a:schemeClr val="accent4"/>
            </a:solidFill>
            <a:ln>
              <a:noFill/>
            </a:ln>
            <a:effectLst/>
          </c:spPr>
          <c:invertIfNegative val="0"/>
          <c:cat>
            <c:strRef>
              <c:f>PivotTables!$A$3:$A$7</c:f>
              <c:strCache>
                <c:ptCount val="4"/>
                <c:pt idx="0">
                  <c:v>Electronics</c:v>
                </c:pt>
                <c:pt idx="1">
                  <c:v>Home &amp; Kitchen</c:v>
                </c:pt>
                <c:pt idx="2">
                  <c:v>Home Furnishing</c:v>
                </c:pt>
                <c:pt idx="3">
                  <c:v>Sports &amp; Outdoors</c:v>
                </c:pt>
              </c:strCache>
            </c:strRef>
          </c:cat>
          <c:val>
            <c:numRef>
              <c:f>PivotTables!$E$3:$E$7</c:f>
              <c:numCache>
                <c:formatCode>"$"#,##0.00</c:formatCode>
                <c:ptCount val="4"/>
                <c:pt idx="0">
                  <c:v>43156.036590310039</c:v>
                </c:pt>
                <c:pt idx="1">
                  <c:v>43672.997129783995</c:v>
                </c:pt>
                <c:pt idx="2">
                  <c:v>46355.243984873559</c:v>
                </c:pt>
                <c:pt idx="3">
                  <c:v>79041.436821178751</c:v>
                </c:pt>
              </c:numCache>
            </c:numRef>
          </c:val>
          <c:extLst>
            <c:ext xmlns:c16="http://schemas.microsoft.com/office/drawing/2014/chart" uri="{C3380CC4-5D6E-409C-BE32-E72D297353CC}">
              <c16:uniqueId val="{0000000A-8FB0-4E1A-8089-D26A0E0220AF}"/>
            </c:ext>
          </c:extLst>
        </c:ser>
        <c:dLbls>
          <c:showLegendKey val="0"/>
          <c:showVal val="0"/>
          <c:showCatName val="0"/>
          <c:showSerName val="0"/>
          <c:showPercent val="0"/>
          <c:showBubbleSize val="0"/>
        </c:dLbls>
        <c:gapWidth val="219"/>
        <c:overlap val="-27"/>
        <c:axId val="1235620032"/>
        <c:axId val="1235619552"/>
      </c:barChart>
      <c:catAx>
        <c:axId val="123562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619552"/>
        <c:crosses val="autoZero"/>
        <c:auto val="1"/>
        <c:lblAlgn val="ctr"/>
        <c:lblOffset val="100"/>
        <c:noMultiLvlLbl val="0"/>
      </c:catAx>
      <c:valAx>
        <c:axId val="1235619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62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 GP_Excel_Retail_Sales_Data_Original (2).xlsx]PivotTables!PivotTable2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JOSZIM1500</a:t>
            </a:r>
            <a:r>
              <a:rPr lang="en-US" baseline="0"/>
              <a:t> 3/9/2026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PivotTables!$C$17</c:f>
              <c:strCache>
                <c:ptCount val="1"/>
                <c:pt idx="0">
                  <c:v>Total</c:v>
                </c:pt>
              </c:strCache>
            </c:strRef>
          </c:tx>
          <c:spPr>
            <a:solidFill>
              <a:schemeClr val="accent1"/>
            </a:solidFill>
            <a:ln>
              <a:noFill/>
            </a:ln>
            <a:effectLst/>
          </c:spPr>
          <c:invertIfNegative val="0"/>
          <c:cat>
            <c:strRef>
              <c:f>PivotTables!$B$18:$B$38</c:f>
              <c:strCache>
                <c:ptCount val="20"/>
                <c:pt idx="0">
                  <c:v>Bed Sheet Set</c:v>
                </c:pt>
                <c:pt idx="1">
                  <c:v>Blender</c:v>
                </c:pt>
                <c:pt idx="2">
                  <c:v>Bluetooth Headphones</c:v>
                </c:pt>
                <c:pt idx="3">
                  <c:v>Camping Tent</c:v>
                </c:pt>
                <c:pt idx="4">
                  <c:v>Coffee Maker</c:v>
                </c:pt>
                <c:pt idx="5">
                  <c:v>Cotton Towels</c:v>
                </c:pt>
                <c:pt idx="6">
                  <c:v>Ergonomic Chair</c:v>
                </c:pt>
                <c:pt idx="7">
                  <c:v>Fitness Tracker</c:v>
                </c:pt>
                <c:pt idx="8">
                  <c:v>Kitchen Knife Set</c:v>
                </c:pt>
                <c:pt idx="9">
                  <c:v>LED Desk Lamp</c:v>
                </c:pt>
                <c:pt idx="10">
                  <c:v>Microwave Oven</c:v>
                </c:pt>
                <c:pt idx="11">
                  <c:v>Non-stick Pan</c:v>
                </c:pt>
                <c:pt idx="12">
                  <c:v>Portable Charger</c:v>
                </c:pt>
                <c:pt idx="13">
                  <c:v>Running Shoes</c:v>
                </c:pt>
                <c:pt idx="14">
                  <c:v>Smart Watch</c:v>
                </c:pt>
                <c:pt idx="15">
                  <c:v>Thermal Flask</c:v>
                </c:pt>
                <c:pt idx="16">
                  <c:v>Wall Clock</c:v>
                </c:pt>
                <c:pt idx="17">
                  <c:v>Waterproof Backpack</c:v>
                </c:pt>
                <c:pt idx="18">
                  <c:v>Wireless Mouse</c:v>
                </c:pt>
                <c:pt idx="19">
                  <c:v>Yoga Mat</c:v>
                </c:pt>
              </c:strCache>
            </c:strRef>
          </c:cat>
          <c:val>
            <c:numRef>
              <c:f>PivotTables!$C$18:$C$38</c:f>
              <c:numCache>
                <c:formatCode>"$"#,##0.00</c:formatCode>
                <c:ptCount val="20"/>
                <c:pt idx="0">
                  <c:v>34812.94266806393</c:v>
                </c:pt>
                <c:pt idx="1">
                  <c:v>63848.04566950514</c:v>
                </c:pt>
                <c:pt idx="2">
                  <c:v>21909.153829065384</c:v>
                </c:pt>
                <c:pt idx="3">
                  <c:v>28623.17452865759</c:v>
                </c:pt>
                <c:pt idx="4">
                  <c:v>38962.106407449814</c:v>
                </c:pt>
                <c:pt idx="5">
                  <c:v>29700.489833698539</c:v>
                </c:pt>
                <c:pt idx="6">
                  <c:v>28848.094918179424</c:v>
                </c:pt>
                <c:pt idx="7">
                  <c:v>26200.518722482084</c:v>
                </c:pt>
                <c:pt idx="8">
                  <c:v>51754.34514017</c:v>
                </c:pt>
                <c:pt idx="9">
                  <c:v>24490.027370960441</c:v>
                </c:pt>
                <c:pt idx="10">
                  <c:v>41147.062715134445</c:v>
                </c:pt>
                <c:pt idx="11">
                  <c:v>37848.969689644306</c:v>
                </c:pt>
                <c:pt idx="12">
                  <c:v>48394.569860448326</c:v>
                </c:pt>
                <c:pt idx="13">
                  <c:v>31507.665998434575</c:v>
                </c:pt>
                <c:pt idx="14">
                  <c:v>23169.695616732257</c:v>
                </c:pt>
                <c:pt idx="15">
                  <c:v>31554.404610707501</c:v>
                </c:pt>
                <c:pt idx="16">
                  <c:v>45025.505931385604</c:v>
                </c:pt>
                <c:pt idx="17">
                  <c:v>29991.285925599099</c:v>
                </c:pt>
                <c:pt idx="18">
                  <c:v>54030.794052292746</c:v>
                </c:pt>
                <c:pt idx="19">
                  <c:v>47163.821437085717</c:v>
                </c:pt>
              </c:numCache>
            </c:numRef>
          </c:val>
          <c:extLst>
            <c:ext xmlns:c16="http://schemas.microsoft.com/office/drawing/2014/chart" uri="{C3380CC4-5D6E-409C-BE32-E72D297353CC}">
              <c16:uniqueId val="{00000000-9D99-4A9B-AFC7-F23014545F6A}"/>
            </c:ext>
          </c:extLst>
        </c:ser>
        <c:dLbls>
          <c:showLegendKey val="0"/>
          <c:showVal val="0"/>
          <c:showCatName val="0"/>
          <c:showSerName val="0"/>
          <c:showPercent val="0"/>
          <c:showBubbleSize val="0"/>
        </c:dLbls>
        <c:gapWidth val="182"/>
        <c:axId val="1245733968"/>
        <c:axId val="1233381952"/>
      </c:barChart>
      <c:catAx>
        <c:axId val="124573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81952"/>
        <c:crosses val="autoZero"/>
        <c:auto val="1"/>
        <c:lblAlgn val="ctr"/>
        <c:lblOffset val="100"/>
        <c:noMultiLvlLbl val="0"/>
      </c:catAx>
      <c:valAx>
        <c:axId val="12333819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3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552450</xdr:colOff>
      <xdr:row>0</xdr:row>
      <xdr:rowOff>90487</xdr:rowOff>
    </xdr:from>
    <xdr:to>
      <xdr:col>14</xdr:col>
      <xdr:colOff>247650</xdr:colOff>
      <xdr:row>14</xdr:row>
      <xdr:rowOff>166687</xdr:rowOff>
    </xdr:to>
    <xdr:graphicFrame macro="">
      <xdr:nvGraphicFramePr>
        <xdr:cNvPr id="2" name="Chart 1">
          <a:extLst>
            <a:ext uri="{FF2B5EF4-FFF2-40B4-BE49-F238E27FC236}">
              <a16:creationId xmlns:a16="http://schemas.microsoft.com/office/drawing/2014/main" id="{12986C66-3B29-C975-C807-372E0D5AB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15</xdr:row>
      <xdr:rowOff>185737</xdr:rowOff>
    </xdr:from>
    <xdr:to>
      <xdr:col>10</xdr:col>
      <xdr:colOff>466725</xdr:colOff>
      <xdr:row>30</xdr:row>
      <xdr:rowOff>71437</xdr:rowOff>
    </xdr:to>
    <xdr:graphicFrame macro="">
      <xdr:nvGraphicFramePr>
        <xdr:cNvPr id="3" name="Chart 2">
          <a:extLst>
            <a:ext uri="{FF2B5EF4-FFF2-40B4-BE49-F238E27FC236}">
              <a16:creationId xmlns:a16="http://schemas.microsoft.com/office/drawing/2014/main" id="{50D0059D-E7B5-D42B-5202-32C6D98D2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400050</xdr:colOff>
      <xdr:row>0</xdr:row>
      <xdr:rowOff>152400</xdr:rowOff>
    </xdr:from>
    <xdr:to>
      <xdr:col>17</xdr:col>
      <xdr:colOff>400050</xdr:colOff>
      <xdr:row>14</xdr:row>
      <xdr:rowOff>9525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385B556-A7ED-D8DD-81CD-A007C4EA75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06075"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Zimmerman-Gibson" refreshedDate="46090.744191319442" createdVersion="8" refreshedVersion="8" minRefreshableVersion="3" recordCount="305" xr:uid="{9AEE4BAA-E9E8-4013-B56E-7F538CDC835A}">
  <cacheSource type="worksheet">
    <worksheetSource ref="A1:N306" sheet="Transactions"/>
  </cacheSource>
  <cacheFields count="14">
    <cacheField name="Transaction ID" numFmtId="0">
      <sharedItems containsSemiMixedTypes="0" containsString="0" containsNumber="1" containsInteger="1" minValue="1001" maxValue="1300"/>
    </cacheField>
    <cacheField name="Date" numFmtId="165">
      <sharedItems containsSemiMixedTypes="0" containsNonDate="0" containsDate="1" containsString="0" minDate="2021-01-01T13:33:37" maxDate="2021-12-30T20:40:25"/>
    </cacheField>
    <cacheField name="Product ID" numFmtId="0">
      <sharedItems containsSemiMixedTypes="0" containsString="0" containsNumber="1" containsInteger="1" minValue="10006" maxValue="19981"/>
    </cacheField>
    <cacheField name="Product Name" numFmtId="0">
      <sharedItems count="21">
        <s v="Camping Tent"/>
        <s v="UNKNOWN"/>
        <s v="Yoga Mat"/>
        <s v="Fitness Tracker"/>
        <s v="Wall Clock"/>
        <s v="Kitchen Knife Set"/>
        <s v="Thermal Flask"/>
        <s v="Blender"/>
        <s v="Bed Sheet Set"/>
        <s v="Running Shoes"/>
        <s v="Coffee Maker"/>
        <s v="Waterproof Backpack"/>
        <s v="Microwave Oven"/>
        <s v="Wireless Mouse"/>
        <s v="Bluetooth Headphones"/>
        <s v="Non-stick Pan"/>
        <s v="Ergonomic Chair"/>
        <s v="Smart Watch"/>
        <s v="Portable Charger"/>
        <s v="LED Desk Lamp"/>
        <s v="Cotton Towels"/>
      </sharedItems>
    </cacheField>
    <cacheField name="Category" numFmtId="0">
      <sharedItems count="4">
        <s v="Sports &amp; Outdoors"/>
        <s v="Electronics"/>
        <s v="Home Furnishing"/>
        <s v="Home &amp; Kitchen"/>
      </sharedItems>
    </cacheField>
    <cacheField name="Quantity Sold" numFmtId="0">
      <sharedItems containsSemiMixedTypes="0" containsString="0" containsNumber="1" containsInteger="1" minValue="1" maxValue="19"/>
    </cacheField>
    <cacheField name="Unit Price" numFmtId="164">
      <sharedItems containsSemiMixedTypes="0" containsString="0" containsNumber="1" minValue="11.13400200665075" maxValue="493.97319542249431"/>
    </cacheField>
    <cacheField name="Customer ID" numFmtId="0">
      <sharedItems containsSemiMixedTypes="0" containsString="0" containsNumber="1" containsInteger="1" minValue="100095" maxValue="198835"/>
    </cacheField>
    <cacheField name="State" numFmtId="0">
      <sharedItems/>
    </cacheField>
    <cacheField name="Region" numFmtId="0">
      <sharedItems count="4">
        <s v="Midwest"/>
        <s v="South"/>
        <s v="Northeast"/>
        <s v="West"/>
      </sharedItems>
    </cacheField>
    <cacheField name="Total Sales" numFmtId="164">
      <sharedItems containsSemiMixedTypes="0" containsString="0" containsNumber="1" minValue="23.90678512580687" maxValue="9300.8796828791928"/>
    </cacheField>
    <cacheField name="Student ID" numFmtId="0">
      <sharedItems/>
    </cacheField>
    <cacheField name="Unit Price2" numFmtId="164">
      <sharedItems containsString="0" containsBlank="1" containsNumber="1" minValue="11.13400200665075" maxValue="493.97319542249431"/>
    </cacheField>
    <cacheField name="Blank Count" numFmtId="0">
      <sharedItems containsString="0" containsBlank="1" containsNumber="1" containsInteger="1" minValue="0" maxValue="0"/>
    </cacheField>
  </cacheFields>
  <extLst>
    <ext xmlns:x14="http://schemas.microsoft.com/office/spreadsheetml/2009/9/main" uri="{725AE2AE-9491-48be-B2B4-4EB974FC3084}">
      <x14:pivotCacheDefinition pivotCacheId="942547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
  <r>
    <n v="1001"/>
    <d v="2021-01-08T01:16:28"/>
    <n v="14723"/>
    <x v="0"/>
    <x v="0"/>
    <n v="12"/>
    <n v="320.2772799418521"/>
    <n v="125542"/>
    <s v="North Dakota"/>
    <x v="0"/>
    <n v="3843.327359302225"/>
    <s v="JOSZIM1500"/>
    <n v="320.2772799418521"/>
    <n v="0"/>
  </r>
  <r>
    <n v="1002"/>
    <d v="2021-05-11T17:18:48"/>
    <n v="13542"/>
    <x v="1"/>
    <x v="1"/>
    <n v="9"/>
    <n v="58.777694933044231"/>
    <n v="106222"/>
    <s v="Minnesota"/>
    <x v="0"/>
    <n v="528.99925439739809"/>
    <s v="JOSZIM1500"/>
    <n v="58.777694933044231"/>
    <m/>
  </r>
  <r>
    <n v="1003"/>
    <d v="2021-12-11T15:49:51"/>
    <n v="14097"/>
    <x v="2"/>
    <x v="0"/>
    <n v="18"/>
    <n v="48.655520534921472"/>
    <n v="124344"/>
    <s v="Delaware"/>
    <x v="1"/>
    <n v="875.79936962858653"/>
    <s v="JOSZIM1500"/>
    <n v="48.655520534921472"/>
    <m/>
  </r>
  <r>
    <n v="1004"/>
    <d v="2021-03-15T16:33:32"/>
    <n v="15350"/>
    <x v="3"/>
    <x v="1"/>
    <n v="6"/>
    <n v="147.62745928599699"/>
    <n v="101349"/>
    <s v="North Carolina"/>
    <x v="1"/>
    <n v="885.76475571598189"/>
    <s v="JOSZIM1500"/>
    <n v="147.62745928599699"/>
    <m/>
  </r>
  <r>
    <n v="1005"/>
    <d v="2021-01-12T00:27:26"/>
    <n v="10847"/>
    <x v="4"/>
    <x v="0"/>
    <n v="5"/>
    <n v="46.070653425886633"/>
    <n v="192968"/>
    <s v="Massachusetts"/>
    <x v="2"/>
    <n v="230.35326712943316"/>
    <s v="JOSZIM1500"/>
    <n v="46.070653425886633"/>
    <m/>
  </r>
  <r>
    <n v="1006"/>
    <d v="2021-01-30T05:34:06"/>
    <n v="19023"/>
    <x v="5"/>
    <x v="0"/>
    <n v="7"/>
    <n v="435.66014334391213"/>
    <n v="113896"/>
    <s v="Kentucky"/>
    <x v="1"/>
    <n v="3049.6210034073847"/>
    <s v="JOSZIM1500"/>
    <n v="435.66014334391213"/>
    <m/>
  </r>
  <r>
    <n v="1007"/>
    <d v="2021-06-14T08:42:26"/>
    <n v="16025"/>
    <x v="6"/>
    <x v="2"/>
    <n v="5"/>
    <n v="296.26549231574649"/>
    <n v="109358"/>
    <s v="Idaho"/>
    <x v="3"/>
    <n v="1481.3274615787325"/>
    <s v="JOSZIM1500"/>
    <n v="296.26549231574649"/>
    <m/>
  </r>
  <r>
    <n v="1008"/>
    <d v="2021-09-21T03:33:28"/>
    <n v="12630"/>
    <x v="7"/>
    <x v="0"/>
    <n v="4"/>
    <n v="224.39791917880649"/>
    <n v="165288"/>
    <s v="Mississippi"/>
    <x v="1"/>
    <n v="897.59167671522596"/>
    <s v="JOSZIM1500"/>
    <n v="224.39791917880649"/>
    <m/>
  </r>
  <r>
    <n v="1009"/>
    <d v="2021-05-27T08:49:26"/>
    <n v="18791"/>
    <x v="3"/>
    <x v="0"/>
    <n v="1"/>
    <n v="227.93767420076679"/>
    <n v="127368"/>
    <s v="Arkansas"/>
    <x v="1"/>
    <n v="227.93767420076679"/>
    <s v="JOSZIM1500"/>
    <n v="227.93767420076679"/>
    <m/>
  </r>
  <r>
    <n v="1010"/>
    <d v="2021-11-06T08:02:04"/>
    <n v="12804"/>
    <x v="8"/>
    <x v="3"/>
    <n v="6"/>
    <n v="398.6869135884142"/>
    <n v="171280"/>
    <s v="Illinois"/>
    <x v="0"/>
    <n v="2392.1214815304852"/>
    <s v="JOSZIM1500"/>
    <n v="398.6869135884142"/>
    <m/>
  </r>
  <r>
    <n v="1011"/>
    <d v="2021-04-04T18:12:19"/>
    <n v="14203"/>
    <x v="7"/>
    <x v="3"/>
    <n v="13"/>
    <n v="344.71228565663631"/>
    <n v="155331"/>
    <s v="Indiana"/>
    <x v="0"/>
    <n v="4481.2597135362721"/>
    <s v="JOSZIM1500"/>
    <n v="344.71228565663631"/>
    <m/>
  </r>
  <r>
    <n v="1012"/>
    <d v="2021-04-30T03:39:47"/>
    <n v="19620"/>
    <x v="9"/>
    <x v="3"/>
    <n v="11"/>
    <n v="199.6927094536737"/>
    <n v="178997"/>
    <s v="Alaska"/>
    <x v="3"/>
    <n v="2196.6198039904107"/>
    <s v="JOSZIM1500"/>
    <n v="199.6927094536737"/>
    <m/>
  </r>
  <r>
    <n v="1013"/>
    <d v="2021-08-12T18:02:21"/>
    <n v="12024"/>
    <x v="10"/>
    <x v="2"/>
    <n v="7"/>
    <n v="364.39778609172561"/>
    <n v="163107"/>
    <s v="Vermont"/>
    <x v="2"/>
    <n v="2550.7845026420791"/>
    <s v="JOSZIM1500"/>
    <n v="364.39778609172561"/>
    <m/>
  </r>
  <r>
    <n v="1014"/>
    <d v="2021-02-01T22:02:32"/>
    <n v="17629"/>
    <x v="11"/>
    <x v="2"/>
    <n v="1"/>
    <n v="489.01294320652789"/>
    <n v="153926"/>
    <s v="North Carolina"/>
    <x v="1"/>
    <n v="489.01294320652789"/>
    <s v="JOSZIM1500"/>
    <n v="489.01294320652789"/>
    <m/>
  </r>
  <r>
    <n v="1015"/>
    <d v="2021-12-30T17:05:25"/>
    <n v="10947"/>
    <x v="7"/>
    <x v="1"/>
    <n v="13"/>
    <n v="18.865143800474101"/>
    <n v="163702"/>
    <s v="Michigan"/>
    <x v="0"/>
    <n v="245.24686940616331"/>
    <s v="JOSZIM1500"/>
    <n v="18.865143800474101"/>
    <m/>
  </r>
  <r>
    <n v="1016"/>
    <d v="2021-02-04T00:34:07"/>
    <n v="11402"/>
    <x v="12"/>
    <x v="2"/>
    <n v="11"/>
    <n v="463.71233043585681"/>
    <n v="159589"/>
    <s v="Ohio"/>
    <x v="0"/>
    <n v="5100.8356347944245"/>
    <s v="JOSZIM1500"/>
    <n v="463.71233043585681"/>
    <m/>
  </r>
  <r>
    <n v="1017"/>
    <d v="2021-10-21T18:22:15"/>
    <n v="15043"/>
    <x v="4"/>
    <x v="2"/>
    <n v="3"/>
    <n v="117.88265426160559"/>
    <n v="163613"/>
    <s v="Idaho"/>
    <x v="3"/>
    <n v="353.6479627848168"/>
    <s v="JOSZIM1500"/>
    <n v="117.88265426160559"/>
    <m/>
  </r>
  <r>
    <n v="1018"/>
    <d v="2021-07-18T20:52:55"/>
    <n v="19179"/>
    <x v="0"/>
    <x v="0"/>
    <n v="19"/>
    <n v="426.64420015637978"/>
    <n v="130208"/>
    <s v="Colorado"/>
    <x v="3"/>
    <n v="8106.2398029712158"/>
    <s v="JOSZIM1500"/>
    <n v="426.64420015637978"/>
    <m/>
  </r>
  <r>
    <n v="1019"/>
    <d v="2021-03-02T07:55:20"/>
    <n v="15478"/>
    <x v="13"/>
    <x v="1"/>
    <n v="15"/>
    <n v="443.06434154240151"/>
    <n v="166608"/>
    <s v="Illinois"/>
    <x v="0"/>
    <n v="6645.9651231360222"/>
    <s v="JOSZIM1500"/>
    <n v="443.06434154240151"/>
    <m/>
  </r>
  <r>
    <n v="1020"/>
    <d v="2021-03-26T10:25:05"/>
    <n v="16104"/>
    <x v="14"/>
    <x v="2"/>
    <n v="1"/>
    <n v="433.85473148325451"/>
    <n v="174901"/>
    <s v="South Carolina"/>
    <x v="1"/>
    <n v="433.85473148325451"/>
    <s v="JOSZIM1500"/>
    <n v="433.85473148325451"/>
    <m/>
  </r>
  <r>
    <n v="1021"/>
    <d v="2021-12-16T22:12:20"/>
    <n v="12546"/>
    <x v="4"/>
    <x v="0"/>
    <n v="13"/>
    <n v="406.19936181355382"/>
    <n v="193743"/>
    <s v="South Carolina"/>
    <x v="1"/>
    <n v="5280.5917035761995"/>
    <s v="JOSZIM1500"/>
    <n v="406.19936181355382"/>
    <m/>
  </r>
  <r>
    <n v="1022"/>
    <d v="2021-12-18T07:18:02"/>
    <n v="16390"/>
    <x v="11"/>
    <x v="0"/>
    <n v="4"/>
    <n v="262.93599539610597"/>
    <n v="132352"/>
    <s v="Virginia"/>
    <x v="1"/>
    <n v="1051.7439815844239"/>
    <s v="JOSZIM1500"/>
    <m/>
    <m/>
  </r>
  <r>
    <n v="1023"/>
    <d v="2021-05-11T12:41:52"/>
    <n v="19579"/>
    <x v="15"/>
    <x v="3"/>
    <n v="17"/>
    <n v="39.729111511986531"/>
    <n v="195024"/>
    <s v="Oregon"/>
    <x v="3"/>
    <n v="675.394895703771"/>
    <s v="JOSZIM1500"/>
    <n v="39.729111511986531"/>
    <m/>
  </r>
  <r>
    <n v="1024"/>
    <d v="2021-03-15T15:11:12"/>
    <n v="13310"/>
    <x v="10"/>
    <x v="3"/>
    <n v="1"/>
    <n v="125.9924507766813"/>
    <n v="165464"/>
    <s v="Georgia"/>
    <x v="1"/>
    <n v="125.9924507766813"/>
    <s v="JOSZIM1500"/>
    <n v="125.9924507766813"/>
    <m/>
  </r>
  <r>
    <n v="1025"/>
    <d v="2021-05-19T21:11:10"/>
    <n v="18981"/>
    <x v="14"/>
    <x v="1"/>
    <n v="11"/>
    <n v="312.97293334190641"/>
    <n v="156199"/>
    <s v="Rhode Island"/>
    <x v="2"/>
    <n v="3442.7022667609704"/>
    <s v="JOSZIM1500"/>
    <n v="312.97293334190641"/>
    <m/>
  </r>
  <r>
    <n v="1026"/>
    <d v="2021-05-03T00:36:49"/>
    <n v="12167"/>
    <x v="12"/>
    <x v="1"/>
    <n v="2"/>
    <n v="380.0651296958618"/>
    <n v="148535"/>
    <s v="Mississippi"/>
    <x v="1"/>
    <n v="760.1302593917236"/>
    <s v="JOSZIM1500"/>
    <n v="380.0651296958618"/>
    <m/>
  </r>
  <r>
    <n v="1027"/>
    <d v="2021-11-19T09:13:56"/>
    <n v="16649"/>
    <x v="16"/>
    <x v="3"/>
    <n v="8"/>
    <n v="225.3812483970768"/>
    <n v="147646"/>
    <s v="Ohio"/>
    <x v="0"/>
    <n v="1803.0499871766144"/>
    <s v="JOSZIM1500"/>
    <n v="225.3812483970768"/>
    <m/>
  </r>
  <r>
    <n v="1028"/>
    <d v="2021-11-02T07:44:25"/>
    <n v="10652"/>
    <x v="17"/>
    <x v="0"/>
    <n v="16"/>
    <n v="482.65009726530423"/>
    <n v="138257"/>
    <s v="Virginia"/>
    <x v="1"/>
    <n v="7722.4015562448676"/>
    <s v="JOSZIM1500"/>
    <n v="482.65009726530423"/>
    <m/>
  </r>
  <r>
    <n v="1029"/>
    <d v="2021-04-01T18:05:52"/>
    <n v="11739"/>
    <x v="1"/>
    <x v="0"/>
    <n v="18"/>
    <n v="486.1820647358673"/>
    <n v="178221"/>
    <s v="Wyoming"/>
    <x v="3"/>
    <n v="8751.2771652456122"/>
    <s v="JOSZIM1500"/>
    <n v="486.1820647358673"/>
    <m/>
  </r>
  <r>
    <n v="1030"/>
    <d v="2021-12-26T00:27:44"/>
    <n v="13369"/>
    <x v="1"/>
    <x v="2"/>
    <n v="10"/>
    <n v="465.80612290744489"/>
    <n v="136530"/>
    <s v="South Dakota"/>
    <x v="0"/>
    <n v="4658.0612290744484"/>
    <s v="JOSZIM1500"/>
    <n v="465.80612290744489"/>
    <m/>
  </r>
  <r>
    <n v="1031"/>
    <d v="2021-04-01T08:49:09"/>
    <n v="19165"/>
    <x v="10"/>
    <x v="1"/>
    <n v="9"/>
    <n v="262.62609662782108"/>
    <n v="114065"/>
    <s v="Connecticut"/>
    <x v="2"/>
    <n v="2363.6348696503896"/>
    <s v="JOSZIM1500"/>
    <n v="262.62609662782108"/>
    <m/>
  </r>
  <r>
    <n v="1032"/>
    <d v="2021-01-02T13:44:41"/>
    <n v="12599"/>
    <x v="9"/>
    <x v="1"/>
    <n v="8"/>
    <n v="49.300464982517681"/>
    <n v="147619"/>
    <s v="Montana"/>
    <x v="3"/>
    <n v="394.40371986014145"/>
    <s v="JOSZIM1500"/>
    <n v="49.300464982517681"/>
    <m/>
  </r>
  <r>
    <n v="1033"/>
    <d v="2021-11-11T18:23:57"/>
    <n v="13157"/>
    <x v="17"/>
    <x v="1"/>
    <n v="4"/>
    <n v="270.4264814262155"/>
    <n v="106340"/>
    <s v="Maryland"/>
    <x v="1"/>
    <n v="1081.705925704862"/>
    <s v="JOSZIM1500"/>
    <n v="270.4264814262155"/>
    <m/>
  </r>
  <r>
    <n v="1034"/>
    <d v="2021-04-25T02:22:45"/>
    <n v="16713"/>
    <x v="16"/>
    <x v="3"/>
    <n v="19"/>
    <n v="227.93459693161071"/>
    <n v="136505"/>
    <s v="Missouri"/>
    <x v="0"/>
    <n v="4330.7573417006033"/>
    <s v="JOSZIM1500"/>
    <n v="227.93459693161071"/>
    <m/>
  </r>
  <r>
    <n v="1035"/>
    <d v="2021-12-04T01:17:54"/>
    <n v="14772"/>
    <x v="1"/>
    <x v="2"/>
    <n v="15"/>
    <n v="215.68134117802319"/>
    <n v="161266"/>
    <s v="Alaska"/>
    <x v="3"/>
    <n v="3235.2201176703479"/>
    <s v="JOSZIM1500"/>
    <n v="215.68134117802319"/>
    <m/>
  </r>
  <r>
    <n v="1036"/>
    <d v="2021-07-20T00:35:32"/>
    <n v="15598"/>
    <x v="18"/>
    <x v="2"/>
    <n v="15"/>
    <n v="425.71540535574587"/>
    <n v="148156"/>
    <s v="Georgia"/>
    <x v="1"/>
    <n v="6385.7310803361879"/>
    <s v="JOSZIM1500"/>
    <n v="425.71540535574587"/>
    <m/>
  </r>
  <r>
    <n v="1037"/>
    <d v="2021-11-06T21:57:43"/>
    <n v="17159"/>
    <x v="10"/>
    <x v="1"/>
    <n v="15"/>
    <n v="205.41783483543031"/>
    <n v="112112"/>
    <s v="Connecticut"/>
    <x v="2"/>
    <n v="3081.2675225314547"/>
    <s v="JOSZIM1500"/>
    <n v="205.41783483543031"/>
    <m/>
  </r>
  <r>
    <n v="1038"/>
    <d v="2021-11-01T02:42:57"/>
    <n v="19241"/>
    <x v="7"/>
    <x v="0"/>
    <n v="7"/>
    <n v="58.325741609721263"/>
    <n v="145105"/>
    <s v="Tennessee"/>
    <x v="1"/>
    <n v="408.28019126804884"/>
    <s v="JOSZIM1500"/>
    <n v="58.325741609721263"/>
    <m/>
  </r>
  <r>
    <n v="1039"/>
    <d v="2021-09-01T07:40:58"/>
    <n v="17950"/>
    <x v="0"/>
    <x v="0"/>
    <n v="4"/>
    <n v="483.82759208656688"/>
    <n v="162385"/>
    <s v="South Dakota"/>
    <x v="0"/>
    <n v="1935.3103683462675"/>
    <s v="JOSZIM1500"/>
    <n v="483.82759208656688"/>
    <m/>
  </r>
  <r>
    <n v="1040"/>
    <d v="2021-02-21T00:17:31"/>
    <n v="10006"/>
    <x v="4"/>
    <x v="2"/>
    <n v="16"/>
    <n v="476.32698302750629"/>
    <n v="122926"/>
    <s v="South Carolina"/>
    <x v="1"/>
    <n v="7621.2317284401006"/>
    <s v="JOSZIM1500"/>
    <n v="476.32698302750629"/>
    <m/>
  </r>
  <r>
    <n v="1041"/>
    <d v="2021-11-17T10:11:06"/>
    <n v="15604"/>
    <x v="19"/>
    <x v="3"/>
    <n v="5"/>
    <n v="408.7794918445739"/>
    <n v="127243"/>
    <s v="Louisiana"/>
    <x v="1"/>
    <n v="2043.8974592228694"/>
    <s v="JOSZIM1500"/>
    <n v="408.7794918445739"/>
    <m/>
  </r>
  <r>
    <n v="1042"/>
    <d v="2021-05-20T20:27:22"/>
    <n v="13966"/>
    <x v="15"/>
    <x v="2"/>
    <n v="18"/>
    <n v="471.94228093165458"/>
    <n v="151044"/>
    <s v="Kansas"/>
    <x v="0"/>
    <n v="8494.9610567697819"/>
    <s v="JOSZIM1500"/>
    <n v="471.94228093165458"/>
    <m/>
  </r>
  <r>
    <n v="1043"/>
    <d v="2021-01-23T02:38:36"/>
    <n v="11320"/>
    <x v="5"/>
    <x v="0"/>
    <n v="18"/>
    <n v="114.3091228865911"/>
    <n v="173418"/>
    <s v="Hawaii"/>
    <x v="3"/>
    <n v="2057.5642119586396"/>
    <s v="JOSZIM1500"/>
    <n v="114.3091228865911"/>
    <m/>
  </r>
  <r>
    <n v="1044"/>
    <d v="2021-07-03T13:15:41"/>
    <n v="10729"/>
    <x v="5"/>
    <x v="2"/>
    <n v="18"/>
    <n v="229.66717731141449"/>
    <n v="193031"/>
    <s v="Montana"/>
    <x v="3"/>
    <n v="4134.0091916054607"/>
    <s v="JOSZIM1500"/>
    <n v="229.66717731141449"/>
    <m/>
  </r>
  <r>
    <n v="1045"/>
    <d v="2021-08-29T10:52:45"/>
    <n v="17712"/>
    <x v="17"/>
    <x v="0"/>
    <n v="7"/>
    <n v="17.247630344889821"/>
    <n v="140289"/>
    <s v="Illinois"/>
    <x v="0"/>
    <n v="120.73341241422875"/>
    <s v="JOSZIM1500"/>
    <n v="17.247630344889821"/>
    <m/>
  </r>
  <r>
    <n v="1046"/>
    <d v="2021-04-28T22:56:38"/>
    <n v="13032"/>
    <x v="4"/>
    <x v="0"/>
    <n v="17"/>
    <n v="329.98244950334202"/>
    <n v="136278"/>
    <s v="Illinois"/>
    <x v="0"/>
    <n v="5609.7016415568141"/>
    <s v="JOSZIM1500"/>
    <n v="329.98244950334202"/>
    <m/>
  </r>
  <r>
    <n v="1047"/>
    <d v="2021-06-09T11:22:52"/>
    <n v="18353"/>
    <x v="15"/>
    <x v="2"/>
    <n v="16"/>
    <n v="262.93599539610597"/>
    <n v="116117"/>
    <s v="Louisiana"/>
    <x v="1"/>
    <n v="4206.9759263376955"/>
    <s v="JOSZIM1500"/>
    <m/>
    <m/>
  </r>
  <r>
    <n v="1048"/>
    <d v="2021-08-09T03:52:42"/>
    <n v="16639"/>
    <x v="1"/>
    <x v="1"/>
    <n v="11"/>
    <n v="357.87867352765841"/>
    <n v="119419"/>
    <s v="North Dakota"/>
    <x v="0"/>
    <n v="3936.6654088042424"/>
    <s v="JOSZIM1500"/>
    <n v="357.87867352765841"/>
    <m/>
  </r>
  <r>
    <n v="1049"/>
    <d v="2021-06-15T00:54:57"/>
    <n v="13484"/>
    <x v="11"/>
    <x v="2"/>
    <n v="6"/>
    <n v="114.279397517202"/>
    <n v="150804"/>
    <s v="Illinois"/>
    <x v="0"/>
    <n v="685.67638510321194"/>
    <s v="JOSZIM1500"/>
    <n v="114.279397517202"/>
    <m/>
  </r>
  <r>
    <n v="1050"/>
    <d v="2021-10-19T18:49:04"/>
    <n v="10931"/>
    <x v="7"/>
    <x v="2"/>
    <n v="3"/>
    <n v="51.909426648071182"/>
    <n v="172015"/>
    <s v="New Jersey"/>
    <x v="2"/>
    <n v="155.72827994421354"/>
    <s v="JOSZIM1500"/>
    <n v="51.909426648071182"/>
    <m/>
  </r>
  <r>
    <n v="1051"/>
    <d v="2021-09-18T16:27:59"/>
    <n v="14515"/>
    <x v="12"/>
    <x v="0"/>
    <n v="15"/>
    <n v="391.66326624624111"/>
    <n v="192075"/>
    <s v="Missouri"/>
    <x v="0"/>
    <n v="5874.948993693617"/>
    <s v="JOSZIM1500"/>
    <n v="391.66326624624111"/>
    <m/>
  </r>
  <r>
    <n v="1052"/>
    <d v="2021-08-18T12:21:04"/>
    <n v="12250"/>
    <x v="18"/>
    <x v="2"/>
    <n v="6"/>
    <n v="72.887977873754807"/>
    <n v="119058"/>
    <s v="Arizona"/>
    <x v="3"/>
    <n v="437.32786724252884"/>
    <s v="JOSZIM1500"/>
    <n v="72.887977873754807"/>
    <m/>
  </r>
  <r>
    <n v="1053"/>
    <d v="2021-06-25T04:23:11"/>
    <n v="12034"/>
    <x v="12"/>
    <x v="0"/>
    <n v="1"/>
    <n v="346.45468162695039"/>
    <n v="191384"/>
    <s v="Connecticut"/>
    <x v="2"/>
    <n v="346.45468162695039"/>
    <s v="JOSZIM1500"/>
    <n v="346.45468162695039"/>
    <m/>
  </r>
  <r>
    <n v="1054"/>
    <d v="2021-12-14T09:37:29"/>
    <n v="16168"/>
    <x v="9"/>
    <x v="0"/>
    <n v="6"/>
    <n v="439.27827843452297"/>
    <n v="175179"/>
    <s v="Hawaii"/>
    <x v="3"/>
    <n v="2635.669670607138"/>
    <s v="JOSZIM1500"/>
    <n v="439.27827843452297"/>
    <m/>
  </r>
  <r>
    <n v="1055"/>
    <d v="2021-03-18T04:44:14"/>
    <n v="15282"/>
    <x v="12"/>
    <x v="3"/>
    <n v="4"/>
    <n v="428.56881272754617"/>
    <n v="112073"/>
    <s v="New Hampshire"/>
    <x v="2"/>
    <n v="1714.2752509101847"/>
    <s v="JOSZIM1500"/>
    <n v="428.56881272754617"/>
    <m/>
  </r>
  <r>
    <n v="1056"/>
    <d v="2021-05-01T14:56:22"/>
    <n v="14791"/>
    <x v="7"/>
    <x v="0"/>
    <n v="11"/>
    <n v="99.50613589859303"/>
    <n v="153662"/>
    <s v="Washington"/>
    <x v="3"/>
    <n v="1094.5674948845233"/>
    <s v="JOSZIM1500"/>
    <n v="99.50613589859303"/>
    <m/>
  </r>
  <r>
    <n v="1057"/>
    <d v="2021-11-14T15:01:07"/>
    <n v="11873"/>
    <x v="16"/>
    <x v="1"/>
    <n v="15"/>
    <n v="463.7554199750503"/>
    <n v="128346"/>
    <s v="Florida"/>
    <x v="1"/>
    <n v="6956.3312996257546"/>
    <s v="JOSZIM1500"/>
    <n v="463.7554199750503"/>
    <m/>
  </r>
  <r>
    <n v="1058"/>
    <d v="2021-08-02T07:13:53"/>
    <n v="17932"/>
    <x v="2"/>
    <x v="0"/>
    <n v="6"/>
    <n v="411.87301108405092"/>
    <n v="158069"/>
    <s v="Ohio"/>
    <x v="0"/>
    <n v="2471.2380665043056"/>
    <s v="JOSZIM1500"/>
    <n v="411.87301108405092"/>
    <m/>
  </r>
  <r>
    <n v="1059"/>
    <d v="2021-07-26T21:47:56"/>
    <n v="12334"/>
    <x v="6"/>
    <x v="0"/>
    <n v="4"/>
    <n v="168.34415283745861"/>
    <n v="134117"/>
    <s v="Alaska"/>
    <x v="3"/>
    <n v="673.37661134983443"/>
    <s v="JOSZIM1500"/>
    <n v="168.34415283745861"/>
    <m/>
  </r>
  <r>
    <n v="1060"/>
    <d v="2021-11-24T08:29:00"/>
    <n v="12788"/>
    <x v="7"/>
    <x v="2"/>
    <n v="13"/>
    <n v="133.5095858691457"/>
    <n v="124477"/>
    <s v="Connecticut"/>
    <x v="2"/>
    <n v="1735.6246162988941"/>
    <s v="JOSZIM1500"/>
    <n v="133.5095858691457"/>
    <m/>
  </r>
  <r>
    <n v="1061"/>
    <d v="2021-05-20T02:51:32"/>
    <n v="11211"/>
    <x v="2"/>
    <x v="2"/>
    <n v="13"/>
    <n v="405.24897161674352"/>
    <n v="119257"/>
    <s v="Hawaii"/>
    <x v="3"/>
    <n v="5268.2366310176658"/>
    <s v="JOSZIM1500"/>
    <n v="405.24897161674352"/>
    <m/>
  </r>
  <r>
    <n v="1062"/>
    <d v="2021-10-17T18:59:03"/>
    <n v="11374"/>
    <x v="12"/>
    <x v="1"/>
    <n v="1"/>
    <n v="227.07519092742211"/>
    <n v="142239"/>
    <s v="Oregon"/>
    <x v="3"/>
    <n v="227.07519092742211"/>
    <s v="JOSZIM1500"/>
    <n v="227.07519092742211"/>
    <m/>
  </r>
  <r>
    <n v="1063"/>
    <d v="2021-02-17T07:38:52"/>
    <n v="19344"/>
    <x v="1"/>
    <x v="3"/>
    <n v="1"/>
    <n v="259.75503864707758"/>
    <n v="108754"/>
    <s v="Connecticut"/>
    <x v="2"/>
    <n v="259.75503864707758"/>
    <s v="JOSZIM1500"/>
    <n v="259.75503864707758"/>
    <m/>
  </r>
  <r>
    <n v="1064"/>
    <d v="2021-01-16T10:29:48"/>
    <n v="18542"/>
    <x v="13"/>
    <x v="2"/>
    <n v="7"/>
    <n v="24.662567374430409"/>
    <n v="161260"/>
    <s v="Montana"/>
    <x v="3"/>
    <n v="172.63797162101287"/>
    <s v="JOSZIM1500"/>
    <n v="24.662567374430409"/>
    <m/>
  </r>
  <r>
    <n v="1065"/>
    <d v="2021-06-11T05:47:25"/>
    <n v="17608"/>
    <x v="18"/>
    <x v="0"/>
    <n v="5"/>
    <n v="424.75324325436162"/>
    <n v="129798"/>
    <s v="Michigan"/>
    <x v="0"/>
    <n v="2123.7662162718079"/>
    <s v="JOSZIM1500"/>
    <n v="424.75324325436162"/>
    <m/>
  </r>
  <r>
    <n v="1066"/>
    <d v="2021-10-13T17:58:42"/>
    <n v="16491"/>
    <x v="7"/>
    <x v="3"/>
    <n v="9"/>
    <n v="419.08694365711608"/>
    <n v="122041"/>
    <s v="North Dakota"/>
    <x v="0"/>
    <n v="3771.7824929140447"/>
    <s v="JOSZIM1500"/>
    <n v="419.08694365711608"/>
    <m/>
  </r>
  <r>
    <n v="1067"/>
    <d v="2021-02-24T22:01:23"/>
    <n v="18479"/>
    <x v="4"/>
    <x v="2"/>
    <n v="5"/>
    <n v="262.93599539610597"/>
    <n v="113830"/>
    <s v="Missouri"/>
    <x v="0"/>
    <n v="1314.6799769805298"/>
    <s v="JOSZIM1500"/>
    <m/>
    <m/>
  </r>
  <r>
    <n v="1068"/>
    <d v="2021-09-15T06:12:44"/>
    <n v="16754"/>
    <x v="3"/>
    <x v="0"/>
    <n v="11"/>
    <n v="288.0568436792027"/>
    <n v="141765"/>
    <s v="Michigan"/>
    <x v="0"/>
    <n v="3168.6252804712299"/>
    <s v="JOSZIM1500"/>
    <n v="288.0568436792027"/>
    <m/>
  </r>
  <r>
    <n v="1069"/>
    <d v="2021-10-29T19:08:27"/>
    <n v="17751"/>
    <x v="20"/>
    <x v="0"/>
    <n v="17"/>
    <n v="392.25480609598719"/>
    <n v="107082"/>
    <s v="Hawaii"/>
    <x v="3"/>
    <n v="6668.3317036317821"/>
    <s v="JOSZIM1500"/>
    <n v="392.25480609598719"/>
    <m/>
  </r>
  <r>
    <n v="1070"/>
    <d v="2021-07-24T02:25:46"/>
    <n v="17576"/>
    <x v="15"/>
    <x v="2"/>
    <n v="17"/>
    <n v="49.893231522578652"/>
    <n v="178577"/>
    <s v="Montana"/>
    <x v="3"/>
    <n v="848.18493588383706"/>
    <s v="JOSZIM1500"/>
    <n v="49.893231522578652"/>
    <m/>
  </r>
  <r>
    <n v="1071"/>
    <d v="2021-04-20T01:29:31"/>
    <n v="12903"/>
    <x v="20"/>
    <x v="3"/>
    <n v="12"/>
    <n v="295.80815000340289"/>
    <n v="103888"/>
    <s v="South Carolina"/>
    <x v="1"/>
    <n v="3549.6978000408344"/>
    <s v="JOSZIM1500"/>
    <n v="295.80815000340289"/>
    <m/>
  </r>
  <r>
    <n v="1007"/>
    <d v="2021-06-14T08:42:26"/>
    <n v="16025"/>
    <x v="6"/>
    <x v="2"/>
    <n v="5"/>
    <n v="296.26549231574649"/>
    <n v="109358"/>
    <s v="Idaho"/>
    <x v="3"/>
    <n v="1481.3274615787325"/>
    <s v="JOSZIM1500"/>
    <n v="296.26549231574649"/>
    <m/>
  </r>
  <r>
    <n v="1072"/>
    <d v="2021-01-12T00:22:30"/>
    <n v="15250"/>
    <x v="6"/>
    <x v="1"/>
    <n v="10"/>
    <n v="143.79362651822649"/>
    <n v="171094"/>
    <s v="Arizona"/>
    <x v="3"/>
    <n v="1437.9362651822648"/>
    <s v="JOSZIM1500"/>
    <n v="143.79362651822649"/>
    <m/>
  </r>
  <r>
    <n v="1073"/>
    <d v="2021-07-30T10:15:18"/>
    <n v="10805"/>
    <x v="15"/>
    <x v="2"/>
    <n v="19"/>
    <n v="401.76404238384953"/>
    <n v="170578"/>
    <s v="New Hampshire"/>
    <x v="2"/>
    <n v="7633.5168052931413"/>
    <s v="JOSZIM1500"/>
    <n v="401.76404238384953"/>
    <m/>
  </r>
  <r>
    <n v="1074"/>
    <d v="2021-02-07T23:55:05"/>
    <n v="11856"/>
    <x v="6"/>
    <x v="3"/>
    <n v="15"/>
    <n v="387.75265166674768"/>
    <n v="100095"/>
    <s v="Vermont"/>
    <x v="2"/>
    <n v="5816.2897750012153"/>
    <s v="JOSZIM1500"/>
    <n v="387.75265166674768"/>
    <m/>
  </r>
  <r>
    <n v="1075"/>
    <d v="2021-06-18T15:30:32"/>
    <n v="16546"/>
    <x v="13"/>
    <x v="0"/>
    <n v="10"/>
    <n v="134.0477038758641"/>
    <n v="116070"/>
    <s v="Nebraska"/>
    <x v="0"/>
    <n v="1340.4770387586409"/>
    <s v="JOSZIM1500"/>
    <n v="134.0477038758641"/>
    <m/>
  </r>
  <r>
    <n v="1076"/>
    <d v="2021-09-30T07:53:40"/>
    <n v="19800"/>
    <x v="5"/>
    <x v="3"/>
    <n v="10"/>
    <n v="250.78446559895031"/>
    <n v="122893"/>
    <s v="New Mexico"/>
    <x v="3"/>
    <n v="2507.8446559895028"/>
    <s v="JOSZIM1500"/>
    <n v="250.78446559895031"/>
    <m/>
  </r>
  <r>
    <n v="1077"/>
    <d v="2021-04-19T18:35:10"/>
    <n v="18070"/>
    <x v="10"/>
    <x v="0"/>
    <n v="4"/>
    <n v="473.41204701505637"/>
    <n v="165288"/>
    <s v="Kentucky"/>
    <x v="1"/>
    <n v="1893.6481880602255"/>
    <s v="JOSZIM1500"/>
    <n v="473.41204701505637"/>
    <m/>
  </r>
  <r>
    <n v="1078"/>
    <d v="2021-11-25T18:55:56"/>
    <n v="14726"/>
    <x v="9"/>
    <x v="2"/>
    <n v="11"/>
    <n v="11.13400200665075"/>
    <n v="117533"/>
    <s v="Connecticut"/>
    <x v="2"/>
    <n v="122.47402207315825"/>
    <s v="JOSZIM1500"/>
    <n v="11.13400200665075"/>
    <m/>
  </r>
  <r>
    <n v="1079"/>
    <d v="2021-04-21T02:11:24"/>
    <n v="11744"/>
    <x v="4"/>
    <x v="0"/>
    <n v="1"/>
    <n v="412.10664155548932"/>
    <n v="162110"/>
    <s v="Ohio"/>
    <x v="0"/>
    <n v="412.10664155548932"/>
    <s v="JOSZIM1500"/>
    <n v="412.10664155548932"/>
    <m/>
  </r>
  <r>
    <n v="1080"/>
    <d v="2021-05-14T23:51:42"/>
    <n v="19632"/>
    <x v="4"/>
    <x v="3"/>
    <n v="7"/>
    <n v="346.02498984047969"/>
    <n v="112966"/>
    <s v="West Virginia"/>
    <x v="1"/>
    <n v="2422.174928883358"/>
    <s v="JOSZIM1500"/>
    <n v="346.02498984047969"/>
    <m/>
  </r>
  <r>
    <n v="1081"/>
    <d v="2021-08-30T03:38:30"/>
    <n v="16306"/>
    <x v="10"/>
    <x v="0"/>
    <n v="12"/>
    <n v="267.18905229619912"/>
    <n v="154238"/>
    <s v="North Carolina"/>
    <x v="1"/>
    <n v="3206.2686275543892"/>
    <s v="JOSZIM1500"/>
    <n v="267.18905229619912"/>
    <m/>
  </r>
  <r>
    <n v="1082"/>
    <d v="2021-11-14T10:42:58"/>
    <n v="17946"/>
    <x v="5"/>
    <x v="3"/>
    <n v="9"/>
    <n v="235.63700806001469"/>
    <n v="159257"/>
    <s v="North Carolina"/>
    <x v="1"/>
    <n v="2120.7330725401321"/>
    <s v="JOSZIM1500"/>
    <n v="235.63700806001469"/>
    <m/>
  </r>
  <r>
    <n v="1083"/>
    <d v="2021-06-22T15:58:07"/>
    <n v="16976"/>
    <x v="16"/>
    <x v="1"/>
    <n v="12"/>
    <n v="14.476017835691851"/>
    <n v="112189"/>
    <s v="Nebraska"/>
    <x v="0"/>
    <n v="173.71221402830221"/>
    <s v="JOSZIM1500"/>
    <n v="14.476017835691851"/>
    <m/>
  </r>
  <r>
    <n v="1084"/>
    <d v="2021-07-16T18:56:39"/>
    <n v="13667"/>
    <x v="16"/>
    <x v="0"/>
    <n v="1"/>
    <n v="385.4442064230073"/>
    <n v="187166"/>
    <s v="Michigan"/>
    <x v="0"/>
    <n v="385.4442064230073"/>
    <s v="JOSZIM1500"/>
    <n v="385.4442064230073"/>
    <m/>
  </r>
  <r>
    <n v="1085"/>
    <d v="2021-12-11T06:44:00"/>
    <n v="18492"/>
    <x v="12"/>
    <x v="1"/>
    <n v="2"/>
    <n v="112.4510256288531"/>
    <n v="125210"/>
    <s v="Oklahoma"/>
    <x v="1"/>
    <n v="224.9020512577062"/>
    <s v="JOSZIM1500"/>
    <n v="112.4510256288531"/>
    <m/>
  </r>
  <r>
    <n v="1086"/>
    <d v="2021-03-16T09:29:48"/>
    <n v="12490"/>
    <x v="2"/>
    <x v="2"/>
    <n v="18"/>
    <n v="405.8205966215902"/>
    <n v="171097"/>
    <s v="Iowa"/>
    <x v="0"/>
    <n v="7304.7707391886233"/>
    <s v="JOSZIM1500"/>
    <n v="405.8205966215902"/>
    <m/>
  </r>
  <r>
    <n v="1087"/>
    <d v="2021-06-02T14:28:40"/>
    <n v="14578"/>
    <x v="19"/>
    <x v="3"/>
    <n v="13"/>
    <n v="237.92266050776681"/>
    <n v="187122"/>
    <s v="New York"/>
    <x v="2"/>
    <n v="3092.9945866009684"/>
    <s v="JOSZIM1500"/>
    <n v="237.92266050776681"/>
    <m/>
  </r>
  <r>
    <n v="1088"/>
    <d v="2021-09-26T11:22:07"/>
    <n v="19287"/>
    <x v="1"/>
    <x v="2"/>
    <n v="13"/>
    <n v="350.02621213167362"/>
    <n v="135572"/>
    <s v="Washington"/>
    <x v="3"/>
    <n v="4550.3407577117569"/>
    <s v="JOSZIM1500"/>
    <n v="350.02621213167362"/>
    <m/>
  </r>
  <r>
    <n v="1089"/>
    <d v="2021-05-01T17:45:53"/>
    <n v="15832"/>
    <x v="10"/>
    <x v="2"/>
    <n v="4"/>
    <n v="28.869442415218771"/>
    <n v="190423"/>
    <s v="Iowa"/>
    <x v="0"/>
    <n v="115.47776966087508"/>
    <s v="JOSZIM1500"/>
    <n v="28.869442415218771"/>
    <m/>
  </r>
  <r>
    <n v="1090"/>
    <d v="2021-01-23T16:01:10"/>
    <n v="15003"/>
    <x v="14"/>
    <x v="0"/>
    <n v="10"/>
    <n v="211.33049317271119"/>
    <n v="119163"/>
    <s v="Louisiana"/>
    <x v="1"/>
    <n v="2113.304931727112"/>
    <s v="JOSZIM1500"/>
    <n v="211.33049317271119"/>
    <m/>
  </r>
  <r>
    <n v="1091"/>
    <d v="2021-09-22T20:18:15"/>
    <n v="11027"/>
    <x v="2"/>
    <x v="2"/>
    <n v="11"/>
    <n v="368.23798613502157"/>
    <n v="107712"/>
    <s v="New Jersey"/>
    <x v="2"/>
    <n v="4050.6178474852372"/>
    <s v="JOSZIM1500"/>
    <n v="368.23798613502157"/>
    <m/>
  </r>
  <r>
    <n v="1092"/>
    <d v="2021-02-21T22:58:17"/>
    <n v="12934"/>
    <x v="13"/>
    <x v="2"/>
    <n v="10"/>
    <n v="262.93599539610597"/>
    <n v="123380"/>
    <s v="Michigan"/>
    <x v="0"/>
    <n v="2629.3599539610595"/>
    <s v="JOSZIM1500"/>
    <m/>
    <m/>
  </r>
  <r>
    <n v="1093"/>
    <d v="2021-08-05T13:27:40"/>
    <n v="17120"/>
    <x v="8"/>
    <x v="1"/>
    <n v="13"/>
    <n v="118.2903833633914"/>
    <n v="119621"/>
    <s v="Iowa"/>
    <x v="0"/>
    <n v="1537.7749837240881"/>
    <s v="JOSZIM1500"/>
    <n v="118.2903833633914"/>
    <m/>
  </r>
  <r>
    <n v="1094"/>
    <d v="2021-11-13T23:37:24"/>
    <n v="18533"/>
    <x v="19"/>
    <x v="3"/>
    <n v="19"/>
    <n v="138.38708762800081"/>
    <n v="188565"/>
    <s v="Minnesota"/>
    <x v="0"/>
    <n v="2629.3546649320156"/>
    <s v="JOSZIM1500"/>
    <n v="138.38708762800081"/>
    <m/>
  </r>
  <r>
    <n v="1095"/>
    <d v="2021-07-07T13:16:01"/>
    <n v="12015"/>
    <x v="12"/>
    <x v="0"/>
    <n v="13"/>
    <n v="331.03349846381542"/>
    <n v="113889"/>
    <s v="New York"/>
    <x v="2"/>
    <n v="4303.4354800296005"/>
    <s v="JOSZIM1500"/>
    <n v="331.03349846381542"/>
    <m/>
  </r>
  <r>
    <n v="1096"/>
    <d v="2021-08-07T23:13:41"/>
    <n v="19240"/>
    <x v="18"/>
    <x v="3"/>
    <n v="7"/>
    <n v="111.41929358049789"/>
    <n v="163230"/>
    <s v="Nebraska"/>
    <x v="0"/>
    <n v="779.93505506348527"/>
    <s v="JOSZIM1500"/>
    <n v="111.41929358049789"/>
    <m/>
  </r>
  <r>
    <n v="1097"/>
    <d v="2021-07-12T23:35:19"/>
    <n v="15311"/>
    <x v="19"/>
    <x v="3"/>
    <n v="10"/>
    <n v="182.95643268042619"/>
    <n v="146246"/>
    <s v="Massachusetts"/>
    <x v="2"/>
    <n v="1829.5643268042618"/>
    <s v="JOSZIM1500"/>
    <n v="182.95643268042619"/>
    <m/>
  </r>
  <r>
    <n v="1098"/>
    <d v="2021-04-19T02:20:09"/>
    <n v="14601"/>
    <x v="13"/>
    <x v="0"/>
    <n v="14"/>
    <n v="332.07069478490388"/>
    <n v="147117"/>
    <s v="Louisiana"/>
    <x v="1"/>
    <n v="4648.9897269886542"/>
    <s v="JOSZIM1500"/>
    <n v="332.07069478490388"/>
    <m/>
  </r>
  <r>
    <n v="1099"/>
    <d v="2021-07-17T23:56:56"/>
    <n v="17803"/>
    <x v="0"/>
    <x v="2"/>
    <n v="15"/>
    <n v="98.799161034948867"/>
    <n v="188534"/>
    <s v="New Hampshire"/>
    <x v="2"/>
    <n v="1481.987415524233"/>
    <s v="JOSZIM1500"/>
    <n v="98.799161034948867"/>
    <m/>
  </r>
  <r>
    <n v="1100"/>
    <d v="2021-09-21T17:25:18"/>
    <n v="18584"/>
    <x v="9"/>
    <x v="3"/>
    <n v="6"/>
    <n v="241.5107092027622"/>
    <n v="189975"/>
    <s v="Oregon"/>
    <x v="3"/>
    <n v="1449.0642552165732"/>
    <s v="JOSZIM1500"/>
    <n v="241.5107092027622"/>
    <m/>
  </r>
  <r>
    <n v="1101"/>
    <d v="2021-06-10T13:13:57"/>
    <n v="19041"/>
    <x v="13"/>
    <x v="1"/>
    <n v="14"/>
    <n v="351.6332680810832"/>
    <n v="137701"/>
    <s v="Maryland"/>
    <x v="1"/>
    <n v="4922.8657531351646"/>
    <s v="JOSZIM1500"/>
    <n v="351.6332680810832"/>
    <m/>
  </r>
  <r>
    <n v="1102"/>
    <d v="2021-01-15T19:20:49"/>
    <n v="19254"/>
    <x v="8"/>
    <x v="3"/>
    <n v="18"/>
    <n v="203.4248594462716"/>
    <n v="164993"/>
    <s v="Idaho"/>
    <x v="3"/>
    <n v="3661.6474700328886"/>
    <s v="JOSZIM1500"/>
    <n v="203.4248594462716"/>
    <m/>
  </r>
  <r>
    <n v="1103"/>
    <d v="2021-03-23T18:07:00"/>
    <n v="17932"/>
    <x v="12"/>
    <x v="0"/>
    <n v="12"/>
    <n v="79.688305795068359"/>
    <n v="171337"/>
    <s v="Kansas"/>
    <x v="0"/>
    <n v="956.25966954082037"/>
    <s v="JOSZIM1500"/>
    <n v="79.688305795068359"/>
    <m/>
  </r>
  <r>
    <n v="1104"/>
    <d v="2021-07-08T05:14:05"/>
    <n v="11699"/>
    <x v="8"/>
    <x v="2"/>
    <n v="2"/>
    <n v="451.77369131786048"/>
    <n v="162213"/>
    <s v="Louisiana"/>
    <x v="1"/>
    <n v="903.54738263572096"/>
    <s v="JOSZIM1500"/>
    <n v="451.77369131786048"/>
    <m/>
  </r>
  <r>
    <n v="1105"/>
    <d v="2021-03-09T05:29:09"/>
    <n v="14851"/>
    <x v="11"/>
    <x v="2"/>
    <n v="5"/>
    <n v="45.542481770681761"/>
    <n v="175140"/>
    <s v="Arkansas"/>
    <x v="1"/>
    <n v="227.71240885340882"/>
    <s v="JOSZIM1500"/>
    <n v="45.542481770681761"/>
    <m/>
  </r>
  <r>
    <n v="1106"/>
    <d v="2021-12-15T13:16:09"/>
    <n v="16579"/>
    <x v="0"/>
    <x v="2"/>
    <n v="13"/>
    <n v="352.33783728125991"/>
    <n v="198288"/>
    <s v="Alabama"/>
    <x v="1"/>
    <n v="4580.3918846563793"/>
    <s v="JOSZIM1500"/>
    <n v="352.33783728125991"/>
    <m/>
  </r>
  <r>
    <n v="1107"/>
    <d v="2021-09-30T02:36:56"/>
    <n v="11695"/>
    <x v="10"/>
    <x v="3"/>
    <n v="4"/>
    <n v="250.3406569811053"/>
    <n v="107034"/>
    <s v="Oregon"/>
    <x v="3"/>
    <n v="1001.3626279244212"/>
    <s v="JOSZIM1500"/>
    <n v="250.3406569811053"/>
    <m/>
  </r>
  <r>
    <n v="1108"/>
    <d v="2021-10-06T02:28:55"/>
    <n v="19724"/>
    <x v="6"/>
    <x v="0"/>
    <n v="1"/>
    <n v="429.02650399149991"/>
    <n v="101075"/>
    <s v="Washington"/>
    <x v="3"/>
    <n v="429.02650399149991"/>
    <s v="JOSZIM1500"/>
    <n v="429.02650399149991"/>
    <m/>
  </r>
  <r>
    <n v="1109"/>
    <d v="2021-02-11T19:31:23"/>
    <n v="15582"/>
    <x v="9"/>
    <x v="2"/>
    <n v="10"/>
    <n v="24.532267831845459"/>
    <n v="134406"/>
    <s v="West Virginia"/>
    <x v="1"/>
    <n v="245.32267831845459"/>
    <s v="JOSZIM1500"/>
    <n v="24.532267831845459"/>
    <m/>
  </r>
  <r>
    <n v="1110"/>
    <d v="2021-12-30T20:02:31"/>
    <n v="13778"/>
    <x v="10"/>
    <x v="2"/>
    <n v="2"/>
    <n v="207.02346856210551"/>
    <n v="104993"/>
    <s v="Illinois"/>
    <x v="0"/>
    <n v="414.04693712421101"/>
    <s v="JOSZIM1500"/>
    <n v="207.02346856210551"/>
    <m/>
  </r>
  <r>
    <n v="1111"/>
    <d v="2021-07-25T14:16:59"/>
    <n v="19538"/>
    <x v="5"/>
    <x v="1"/>
    <n v="12"/>
    <n v="282.11723499405713"/>
    <n v="106923"/>
    <s v="Arizona"/>
    <x v="3"/>
    <n v="3385.4068199286858"/>
    <s v="JOSZIM1500"/>
    <n v="282.11723499405713"/>
    <m/>
  </r>
  <r>
    <n v="1112"/>
    <d v="2021-02-03T03:16:32"/>
    <n v="11396"/>
    <x v="17"/>
    <x v="3"/>
    <n v="18"/>
    <n v="227.4374039327522"/>
    <n v="162386"/>
    <s v="Oklahoma"/>
    <x v="1"/>
    <n v="4093.8732707895397"/>
    <s v="JOSZIM1500"/>
    <n v="227.4374039327522"/>
    <m/>
  </r>
  <r>
    <n v="1113"/>
    <d v="2021-01-11T06:35:52"/>
    <n v="15563"/>
    <x v="16"/>
    <x v="0"/>
    <n v="11"/>
    <n v="408.25819009135438"/>
    <n v="136472"/>
    <s v="Tennessee"/>
    <x v="1"/>
    <n v="4490.8400910048986"/>
    <s v="JOSZIM1500"/>
    <n v="408.25819009135438"/>
    <m/>
  </r>
  <r>
    <n v="1114"/>
    <d v="2021-11-01T03:08:04"/>
    <n v="12152"/>
    <x v="12"/>
    <x v="0"/>
    <n v="6"/>
    <n v="348.3245330084178"/>
    <n v="119795"/>
    <s v="Oklahoma"/>
    <x v="1"/>
    <n v="2089.9471980505068"/>
    <s v="JOSZIM1500"/>
    <n v="348.3245330084178"/>
    <m/>
  </r>
  <r>
    <n v="1115"/>
    <d v="2021-08-21T17:42:57"/>
    <n v="14784"/>
    <x v="18"/>
    <x v="1"/>
    <n v="10"/>
    <n v="435.96267763620892"/>
    <n v="118900"/>
    <s v="North Dakota"/>
    <x v="0"/>
    <n v="4359.626776362089"/>
    <s v="JOSZIM1500"/>
    <n v="435.96267763620892"/>
    <m/>
  </r>
  <r>
    <n v="1116"/>
    <d v="2021-11-28T22:14:38"/>
    <n v="17003"/>
    <x v="19"/>
    <x v="3"/>
    <n v="15"/>
    <n v="152.02591451646271"/>
    <n v="174575"/>
    <s v="Alabama"/>
    <x v="1"/>
    <n v="2280.3887177469405"/>
    <s v="JOSZIM1500"/>
    <n v="152.02591451646271"/>
    <m/>
  </r>
  <r>
    <n v="1117"/>
    <d v="2021-06-08T17:36:09"/>
    <n v="19611"/>
    <x v="18"/>
    <x v="1"/>
    <n v="12"/>
    <n v="346.24833709669139"/>
    <n v="151264"/>
    <s v="California"/>
    <x v="3"/>
    <n v="4154.9800451602969"/>
    <s v="JOSZIM1500"/>
    <n v="346.24833709669139"/>
    <m/>
  </r>
  <r>
    <n v="1118"/>
    <d v="2021-04-18T18:59:37"/>
    <n v="19875"/>
    <x v="5"/>
    <x v="3"/>
    <n v="16"/>
    <n v="85.118818267945514"/>
    <n v="167583"/>
    <s v="Vermont"/>
    <x v="2"/>
    <n v="1361.9010922871282"/>
    <s v="JOSZIM1500"/>
    <n v="85.118818267945514"/>
    <m/>
  </r>
  <r>
    <n v="1119"/>
    <d v="2021-08-28T16:25:10"/>
    <n v="12994"/>
    <x v="11"/>
    <x v="0"/>
    <n v="4"/>
    <n v="490.28570910270861"/>
    <n v="198541"/>
    <s v="Colorado"/>
    <x v="3"/>
    <n v="1961.1428364108344"/>
    <s v="JOSZIM1500"/>
    <n v="490.28570910270861"/>
    <m/>
  </r>
  <r>
    <n v="1120"/>
    <d v="2021-09-16T20:00:33"/>
    <n v="18996"/>
    <x v="12"/>
    <x v="2"/>
    <n v="11"/>
    <n v="493.54255322036539"/>
    <n v="144469"/>
    <s v="Alaska"/>
    <x v="3"/>
    <n v="5428.9680854240196"/>
    <s v="JOSZIM1500"/>
    <n v="493.54255322036539"/>
    <m/>
  </r>
  <r>
    <n v="1121"/>
    <d v="2021-06-29T00:53:08"/>
    <n v="11899"/>
    <x v="13"/>
    <x v="0"/>
    <n v="8"/>
    <n v="124.5073152022422"/>
    <n v="165830"/>
    <s v="Maryland"/>
    <x v="1"/>
    <n v="996.05852161793757"/>
    <s v="JOSZIM1500"/>
    <n v="124.5073152022422"/>
    <m/>
  </r>
  <r>
    <n v="1122"/>
    <d v="2021-11-27T15:30:08"/>
    <n v="10367"/>
    <x v="14"/>
    <x v="0"/>
    <n v="15"/>
    <n v="228.32349060959649"/>
    <n v="108536"/>
    <s v="Alabama"/>
    <x v="1"/>
    <n v="3424.8523591439475"/>
    <s v="JOSZIM1500"/>
    <n v="228.32349060959649"/>
    <m/>
  </r>
  <r>
    <n v="1123"/>
    <d v="2021-08-20T03:53:12"/>
    <n v="19428"/>
    <x v="13"/>
    <x v="2"/>
    <n v="17"/>
    <n v="197.10546925501501"/>
    <n v="115257"/>
    <s v="Minnesota"/>
    <x v="0"/>
    <n v="3350.7929773352553"/>
    <s v="JOSZIM1500"/>
    <n v="197.10546925501501"/>
    <m/>
  </r>
  <r>
    <n v="1124"/>
    <d v="2021-04-05T09:13:49"/>
    <n v="11396"/>
    <x v="12"/>
    <x v="0"/>
    <n v="4"/>
    <n v="159.59903745783049"/>
    <n v="113418"/>
    <s v="Vermont"/>
    <x v="2"/>
    <n v="638.39614983132196"/>
    <s v="JOSZIM1500"/>
    <n v="159.59903745783049"/>
    <m/>
  </r>
  <r>
    <n v="1125"/>
    <d v="2021-11-28T22:21:02"/>
    <n v="13872"/>
    <x v="5"/>
    <x v="2"/>
    <n v="11"/>
    <n v="463.73543984157141"/>
    <n v="197395"/>
    <s v="Tennessee"/>
    <x v="1"/>
    <n v="5101.089838257285"/>
    <s v="JOSZIM1500"/>
    <n v="463.73543984157141"/>
    <m/>
  </r>
  <r>
    <n v="1126"/>
    <d v="2021-11-04T09:32:59"/>
    <n v="11771"/>
    <x v="7"/>
    <x v="3"/>
    <n v="13"/>
    <n v="381.15620287234168"/>
    <n v="171630"/>
    <s v="Ohio"/>
    <x v="0"/>
    <n v="4955.0306373404419"/>
    <s v="JOSZIM1500"/>
    <n v="381.15620287234168"/>
    <m/>
  </r>
  <r>
    <n v="1127"/>
    <d v="2021-02-26T21:03:20"/>
    <n v="17196"/>
    <x v="12"/>
    <x v="0"/>
    <n v="7"/>
    <n v="382.19708388781851"/>
    <n v="143874"/>
    <s v="Montana"/>
    <x v="3"/>
    <n v="2675.3795872147293"/>
    <s v="JOSZIM1500"/>
    <n v="382.19708388781851"/>
    <m/>
  </r>
  <r>
    <n v="1128"/>
    <d v="2021-01-03T05:15:39"/>
    <n v="15561"/>
    <x v="5"/>
    <x v="1"/>
    <n v="18"/>
    <n v="462.64642227668787"/>
    <n v="143933"/>
    <s v="Pennsylvania"/>
    <x v="2"/>
    <n v="8327.6356009803822"/>
    <s v="JOSZIM1500"/>
    <n v="462.64642227668787"/>
    <m/>
  </r>
  <r>
    <n v="1129"/>
    <d v="2021-12-12T18:53:01"/>
    <n v="16522"/>
    <x v="3"/>
    <x v="1"/>
    <n v="16"/>
    <n v="311.62650252743731"/>
    <n v="187733"/>
    <s v="South Dakota"/>
    <x v="0"/>
    <n v="4986.024040438997"/>
    <s v="JOSZIM1500"/>
    <n v="311.62650252743731"/>
    <m/>
  </r>
  <r>
    <n v="1130"/>
    <d v="2021-10-26T03:01:14"/>
    <n v="11201"/>
    <x v="0"/>
    <x v="3"/>
    <n v="19"/>
    <n v="45.691560963835222"/>
    <n v="101368"/>
    <s v="North Carolina"/>
    <x v="1"/>
    <n v="868.13965831286919"/>
    <s v="JOSZIM1500"/>
    <n v="45.691560963835222"/>
    <m/>
  </r>
  <r>
    <n v="1131"/>
    <d v="2021-08-01T17:07:54"/>
    <n v="12858"/>
    <x v="17"/>
    <x v="3"/>
    <n v="13"/>
    <n v="101.24104914629309"/>
    <n v="155480"/>
    <s v="Maine"/>
    <x v="2"/>
    <n v="1316.1336389018102"/>
    <s v="JOSZIM1500"/>
    <n v="101.24104914629309"/>
    <m/>
  </r>
  <r>
    <n v="1132"/>
    <d v="2021-04-02T13:31:46"/>
    <n v="17125"/>
    <x v="11"/>
    <x v="2"/>
    <n v="3"/>
    <n v="144.11171040134769"/>
    <n v="190009"/>
    <s v="Vermont"/>
    <x v="2"/>
    <n v="432.33513120404308"/>
    <s v="JOSZIM1500"/>
    <n v="144.11171040134769"/>
    <m/>
  </r>
  <r>
    <n v="1133"/>
    <d v="2021-01-10T19:12:02"/>
    <n v="12740"/>
    <x v="20"/>
    <x v="3"/>
    <n v="18"/>
    <n v="99.053816338374475"/>
    <n v="126878"/>
    <s v="Tennessee"/>
    <x v="1"/>
    <n v="1782.9686940907404"/>
    <s v="JOSZIM1500"/>
    <n v="99.053816338374475"/>
    <m/>
  </r>
  <r>
    <n v="1134"/>
    <d v="2021-06-04T18:14:33"/>
    <n v="17759"/>
    <x v="4"/>
    <x v="1"/>
    <n v="11"/>
    <n v="32.94302992839328"/>
    <n v="147196"/>
    <s v="Vermont"/>
    <x v="2"/>
    <n v="362.3733292123261"/>
    <s v="JOSZIM1500"/>
    <n v="32.94302992839328"/>
    <m/>
  </r>
  <r>
    <n v="1135"/>
    <d v="2021-07-05T04:09:04"/>
    <n v="10959"/>
    <x v="1"/>
    <x v="2"/>
    <n v="15"/>
    <n v="188.78523652077979"/>
    <n v="148211"/>
    <s v="Massachusetts"/>
    <x v="2"/>
    <n v="2831.7785478116966"/>
    <s v="JOSZIM1500"/>
    <n v="188.78523652077979"/>
    <m/>
  </r>
  <r>
    <n v="1136"/>
    <d v="2021-05-02T23:58:57"/>
    <n v="11098"/>
    <x v="1"/>
    <x v="1"/>
    <n v="17"/>
    <n v="104.3259063469342"/>
    <n v="110175"/>
    <s v="Nevada"/>
    <x v="3"/>
    <n v="1773.5404078978816"/>
    <s v="JOSZIM1500"/>
    <n v="104.3259063469342"/>
    <m/>
  </r>
  <r>
    <n v="1137"/>
    <d v="2021-07-12T13:43:09"/>
    <n v="13344"/>
    <x v="18"/>
    <x v="0"/>
    <n v="17"/>
    <n v="199.9120911230635"/>
    <n v="159528"/>
    <s v="Nebraska"/>
    <x v="0"/>
    <n v="3398.5055490920795"/>
    <s v="JOSZIM1500"/>
    <n v="199.9120911230635"/>
    <m/>
  </r>
  <r>
    <n v="1138"/>
    <d v="2021-02-09T21:04:46"/>
    <n v="10543"/>
    <x v="2"/>
    <x v="1"/>
    <n v="15"/>
    <n v="189.87693307565141"/>
    <n v="140062"/>
    <s v="Massachusetts"/>
    <x v="2"/>
    <n v="2848.1539961347712"/>
    <s v="JOSZIM1500"/>
    <n v="189.87693307565141"/>
    <m/>
  </r>
  <r>
    <n v="1139"/>
    <d v="2021-10-01T23:13:00"/>
    <n v="18363"/>
    <x v="19"/>
    <x v="3"/>
    <n v="18"/>
    <n v="151.64692039174159"/>
    <n v="175859"/>
    <s v="Florida"/>
    <x v="1"/>
    <n v="2729.6445670513485"/>
    <s v="JOSZIM1500"/>
    <n v="151.64692039174159"/>
    <m/>
  </r>
  <r>
    <n v="1140"/>
    <d v="2021-11-04T17:53:43"/>
    <n v="12117"/>
    <x v="7"/>
    <x v="1"/>
    <n v="17"/>
    <n v="350.58916113709421"/>
    <n v="185756"/>
    <s v="Montana"/>
    <x v="3"/>
    <n v="5960.0157393306017"/>
    <s v="JOSZIM1500"/>
    <n v="350.58916113709421"/>
    <m/>
  </r>
  <r>
    <n v="1141"/>
    <d v="2021-10-14T20:25:37"/>
    <n v="14418"/>
    <x v="11"/>
    <x v="2"/>
    <n v="19"/>
    <n v="217.5457762753328"/>
    <n v="166720"/>
    <s v="New York"/>
    <x v="2"/>
    <n v="4133.3697492313231"/>
    <s v="JOSZIM1500"/>
    <n v="217.5457762753328"/>
    <m/>
  </r>
  <r>
    <n v="1142"/>
    <d v="2021-06-23T01:27:19"/>
    <n v="18450"/>
    <x v="9"/>
    <x v="1"/>
    <n v="7"/>
    <n v="282.88286482889242"/>
    <n v="125750"/>
    <s v="New Jersey"/>
    <x v="2"/>
    <n v="1980.1800538022469"/>
    <s v="JOSZIM1500"/>
    <n v="282.88286482889242"/>
    <m/>
  </r>
  <r>
    <n v="1143"/>
    <d v="2021-03-14T18:44:42"/>
    <n v="18083"/>
    <x v="2"/>
    <x v="2"/>
    <n v="15"/>
    <n v="247.83000675624899"/>
    <n v="166832"/>
    <s v="West Virginia"/>
    <x v="1"/>
    <n v="3717.4501013437348"/>
    <s v="JOSZIM1500"/>
    <n v="247.83000675624899"/>
    <m/>
  </r>
  <r>
    <n v="1144"/>
    <d v="2021-07-22T11:38:17"/>
    <n v="16777"/>
    <x v="13"/>
    <x v="1"/>
    <n v="1"/>
    <n v="23.90678512580687"/>
    <n v="195252"/>
    <s v="Nevada"/>
    <x v="3"/>
    <n v="23.90678512580687"/>
    <s v="JOSZIM1500"/>
    <n v="23.90678512580687"/>
    <m/>
  </r>
  <r>
    <n v="1145"/>
    <d v="2021-11-08T13:12:47"/>
    <n v="10805"/>
    <x v="18"/>
    <x v="3"/>
    <n v="18"/>
    <n v="183.39835776187451"/>
    <n v="177901"/>
    <s v="Kansas"/>
    <x v="0"/>
    <n v="3301.170439713741"/>
    <s v="JOSZIM1500"/>
    <n v="183.39835776187451"/>
    <m/>
  </r>
  <r>
    <n v="1146"/>
    <d v="2021-06-08T05:30:47"/>
    <n v="11960"/>
    <x v="12"/>
    <x v="2"/>
    <n v="9"/>
    <n v="419.37972245558871"/>
    <n v="145118"/>
    <s v="Arizona"/>
    <x v="3"/>
    <n v="3774.4175021002984"/>
    <s v="JOSZIM1500"/>
    <n v="419.37972245558871"/>
    <m/>
  </r>
  <r>
    <n v="1147"/>
    <d v="2021-10-30T18:03:47"/>
    <n v="14353"/>
    <x v="5"/>
    <x v="2"/>
    <n v="6"/>
    <n v="443.54769940934602"/>
    <n v="128944"/>
    <s v="Maine"/>
    <x v="2"/>
    <n v="2661.2861964560761"/>
    <s v="JOSZIM1500"/>
    <n v="443.54769940934602"/>
    <m/>
  </r>
  <r>
    <n v="1148"/>
    <d v="2021-03-04T01:52:47"/>
    <n v="18469"/>
    <x v="4"/>
    <x v="2"/>
    <n v="1"/>
    <n v="24.465267610145691"/>
    <n v="119405"/>
    <s v="Pennsylvania"/>
    <x v="2"/>
    <n v="24.465267610145691"/>
    <s v="JOSZIM1500"/>
    <n v="24.465267610145691"/>
    <m/>
  </r>
  <r>
    <n v="1149"/>
    <d v="2021-11-14T21:24:09"/>
    <n v="14275"/>
    <x v="15"/>
    <x v="0"/>
    <n v="13"/>
    <n v="262.93599539610597"/>
    <n v="150168"/>
    <s v="Vermont"/>
    <x v="2"/>
    <n v="3418.1679401493775"/>
    <s v="JOSZIM1500"/>
    <m/>
    <m/>
  </r>
  <r>
    <n v="1063"/>
    <d v="2021-02-17T07:38:52"/>
    <n v="19344"/>
    <x v="1"/>
    <x v="3"/>
    <n v="1"/>
    <n v="259.75503864707758"/>
    <n v="108754"/>
    <s v="Connecticut"/>
    <x v="2"/>
    <n v="259.75503864707758"/>
    <s v="JOSZIM1500"/>
    <n v="259.75503864707758"/>
    <m/>
  </r>
  <r>
    <n v="1150"/>
    <d v="2021-07-20T10:12:56"/>
    <n v="15836"/>
    <x v="5"/>
    <x v="2"/>
    <n v="11"/>
    <n v="57.133927323319931"/>
    <n v="150557"/>
    <s v="Colorado"/>
    <x v="3"/>
    <n v="628.47320055651926"/>
    <s v="JOSZIM1500"/>
    <n v="57.133927323319931"/>
    <m/>
  </r>
  <r>
    <n v="1151"/>
    <d v="2021-04-21T03:51:09"/>
    <n v="11761"/>
    <x v="13"/>
    <x v="0"/>
    <n v="11"/>
    <n v="312.40035230299941"/>
    <n v="193912"/>
    <s v="Tennessee"/>
    <x v="1"/>
    <n v="3436.4038753329933"/>
    <s v="JOSZIM1500"/>
    <n v="312.40035230299941"/>
    <m/>
  </r>
  <r>
    <n v="1152"/>
    <d v="2021-06-02T11:02:05"/>
    <n v="16134"/>
    <x v="13"/>
    <x v="1"/>
    <n v="5"/>
    <n v="493.97319542249431"/>
    <n v="106921"/>
    <s v="Indiana"/>
    <x v="0"/>
    <n v="2469.8659771124717"/>
    <s v="JOSZIM1500"/>
    <n v="493.97319542249431"/>
    <m/>
  </r>
  <r>
    <n v="1153"/>
    <d v="2021-03-03T21:10:06"/>
    <n v="17945"/>
    <x v="13"/>
    <x v="0"/>
    <n v="6"/>
    <n v="492.29346539767567"/>
    <n v="122516"/>
    <s v="Illinois"/>
    <x v="0"/>
    <n v="2953.7607923860542"/>
    <s v="JOSZIM1500"/>
    <n v="492.29346539767567"/>
    <m/>
  </r>
  <r>
    <n v="1154"/>
    <d v="2021-08-30T13:18:29"/>
    <n v="18421"/>
    <x v="16"/>
    <x v="2"/>
    <n v="5"/>
    <n v="365.0712011674471"/>
    <n v="158837"/>
    <s v="Iowa"/>
    <x v="0"/>
    <n v="1825.3560058372354"/>
    <s v="JOSZIM1500"/>
    <n v="365.0712011674471"/>
    <m/>
  </r>
  <r>
    <n v="1155"/>
    <d v="2021-10-25T14:23:48"/>
    <n v="13167"/>
    <x v="7"/>
    <x v="3"/>
    <n v="19"/>
    <n v="334.70397585627393"/>
    <n v="183612"/>
    <s v="Oklahoma"/>
    <x v="1"/>
    <n v="6359.3755412692044"/>
    <s v="JOSZIM1500"/>
    <n v="334.70397585627393"/>
    <m/>
  </r>
  <r>
    <n v="1156"/>
    <d v="2021-10-05T18:21:18"/>
    <n v="14101"/>
    <x v="12"/>
    <x v="0"/>
    <n v="9"/>
    <n v="116.9671783924969"/>
    <n v="163311"/>
    <s v="Washington"/>
    <x v="3"/>
    <n v="1052.7046055324722"/>
    <s v="JOSZIM1500"/>
    <n v="116.9671783924969"/>
    <m/>
  </r>
  <r>
    <n v="1157"/>
    <d v="2021-12-29T19:52:43"/>
    <n v="11115"/>
    <x v="7"/>
    <x v="1"/>
    <n v="2"/>
    <n v="356.93455551204102"/>
    <n v="187404"/>
    <s v="Alabama"/>
    <x v="1"/>
    <n v="713.86911102408203"/>
    <s v="JOSZIM1500"/>
    <n v="356.93455551204102"/>
    <m/>
  </r>
  <r>
    <n v="1158"/>
    <d v="2021-10-09T07:57:08"/>
    <n v="12150"/>
    <x v="12"/>
    <x v="0"/>
    <n v="3"/>
    <n v="398.3008229692656"/>
    <n v="119807"/>
    <s v="Hawaii"/>
    <x v="3"/>
    <n v="1194.9024689077969"/>
    <s v="JOSZIM1500"/>
    <n v="398.3008229692656"/>
    <m/>
  </r>
  <r>
    <n v="1159"/>
    <d v="2021-05-16T10:27:02"/>
    <n v="16581"/>
    <x v="4"/>
    <x v="1"/>
    <n v="16"/>
    <n v="249.27134648723529"/>
    <n v="105164"/>
    <s v="North Dakota"/>
    <x v="0"/>
    <n v="3988.3415437957647"/>
    <s v="JOSZIM1500"/>
    <n v="249.27134648723529"/>
    <m/>
  </r>
  <r>
    <n v="1160"/>
    <d v="2021-02-13T20:59:21"/>
    <n v="18014"/>
    <x v="4"/>
    <x v="2"/>
    <n v="11"/>
    <n v="404.30451005430541"/>
    <n v="109015"/>
    <s v="Nevada"/>
    <x v="3"/>
    <n v="4447.3496105973591"/>
    <s v="JOSZIM1500"/>
    <n v="404.30451005430541"/>
    <m/>
  </r>
  <r>
    <n v="1161"/>
    <d v="2021-04-11T02:37:24"/>
    <n v="16505"/>
    <x v="19"/>
    <x v="3"/>
    <n v="1"/>
    <n v="424.02208612496088"/>
    <n v="178413"/>
    <s v="Idaho"/>
    <x v="3"/>
    <n v="424.02208612496088"/>
    <s v="JOSZIM1500"/>
    <n v="424.02208612496088"/>
    <m/>
  </r>
  <r>
    <n v="1162"/>
    <d v="2021-06-30T18:16:23"/>
    <n v="14333"/>
    <x v="6"/>
    <x v="0"/>
    <n v="8"/>
    <n v="222.11453216717331"/>
    <n v="182258"/>
    <s v="Vermont"/>
    <x v="2"/>
    <n v="1776.9162573373865"/>
    <s v="JOSZIM1500"/>
    <n v="222.11453216717331"/>
    <m/>
  </r>
  <r>
    <n v="1163"/>
    <d v="2021-01-18T22:37:12"/>
    <n v="19257"/>
    <x v="6"/>
    <x v="3"/>
    <n v="18"/>
    <n v="481.82005702986191"/>
    <n v="159865"/>
    <s v="New Mexico"/>
    <x v="3"/>
    <n v="8672.7610265375151"/>
    <s v="JOSZIM1500"/>
    <n v="481.82005702986191"/>
    <m/>
  </r>
  <r>
    <n v="1164"/>
    <d v="2021-09-01T15:19:12"/>
    <n v="15533"/>
    <x v="8"/>
    <x v="3"/>
    <n v="6"/>
    <n v="341.80409441694519"/>
    <n v="163902"/>
    <s v="Arkansas"/>
    <x v="1"/>
    <n v="2050.8245665016711"/>
    <s v="JOSZIM1500"/>
    <n v="341.80409441694519"/>
    <m/>
  </r>
  <r>
    <n v="1165"/>
    <d v="2021-03-21T18:40:42"/>
    <n v="14699"/>
    <x v="1"/>
    <x v="2"/>
    <n v="3"/>
    <n v="226.50232849822419"/>
    <n v="126529"/>
    <s v="Florida"/>
    <x v="1"/>
    <n v="679.50698549467256"/>
    <s v="JOSZIM1500"/>
    <n v="226.50232849822419"/>
    <m/>
  </r>
  <r>
    <n v="1166"/>
    <d v="2021-01-07T14:05:28"/>
    <n v="14021"/>
    <x v="12"/>
    <x v="0"/>
    <n v="1"/>
    <n v="159.04667596021969"/>
    <n v="121327"/>
    <s v="Utah"/>
    <x v="3"/>
    <n v="159.04667596021969"/>
    <s v="JOSZIM1500"/>
    <n v="159.04667596021969"/>
    <m/>
  </r>
  <r>
    <n v="1167"/>
    <d v="2021-07-27T13:45:47"/>
    <n v="14783"/>
    <x v="18"/>
    <x v="0"/>
    <n v="5"/>
    <n v="113.20117626553331"/>
    <n v="133314"/>
    <s v="Oregon"/>
    <x v="3"/>
    <n v="566.00588132766654"/>
    <s v="JOSZIM1500"/>
    <n v="113.20117626553331"/>
    <m/>
  </r>
  <r>
    <n v="1168"/>
    <d v="2021-04-09T23:15:45"/>
    <n v="11147"/>
    <x v="8"/>
    <x v="1"/>
    <n v="12"/>
    <n v="277.23279284119337"/>
    <n v="160256"/>
    <s v="Colorado"/>
    <x v="3"/>
    <n v="3326.7935140943205"/>
    <s v="JOSZIM1500"/>
    <n v="277.23279284119337"/>
    <m/>
  </r>
  <r>
    <n v="1169"/>
    <d v="2021-10-07T07:26:32"/>
    <n v="19966"/>
    <x v="13"/>
    <x v="3"/>
    <n v="11"/>
    <n v="318.02226014335918"/>
    <n v="124067"/>
    <s v="Texas"/>
    <x v="1"/>
    <n v="3498.2448615769508"/>
    <s v="JOSZIM1500"/>
    <n v="318.02226014335918"/>
    <m/>
  </r>
  <r>
    <n v="1170"/>
    <d v="2021-12-21T19:36:13"/>
    <n v="11788"/>
    <x v="13"/>
    <x v="2"/>
    <n v="9"/>
    <n v="194.1650716583739"/>
    <n v="151770"/>
    <s v="Arkansas"/>
    <x v="1"/>
    <n v="1747.4856449253652"/>
    <s v="JOSZIM1500"/>
    <n v="194.1650716583739"/>
    <m/>
  </r>
  <r>
    <n v="1171"/>
    <d v="2021-03-28T17:13:23"/>
    <n v="17669"/>
    <x v="9"/>
    <x v="3"/>
    <n v="6"/>
    <n v="371.99252654323749"/>
    <n v="104020"/>
    <s v="Minnesota"/>
    <x v="0"/>
    <n v="2231.9551592594248"/>
    <s v="JOSZIM1500"/>
    <n v="371.99252654323749"/>
    <m/>
  </r>
  <r>
    <n v="1172"/>
    <d v="2021-12-26T07:38:30"/>
    <n v="16267"/>
    <x v="10"/>
    <x v="0"/>
    <n v="5"/>
    <n v="355.46088481917991"/>
    <n v="184202"/>
    <s v="North Carolina"/>
    <x v="1"/>
    <n v="1777.3044240958995"/>
    <s v="JOSZIM1500"/>
    <n v="355.46088481917991"/>
    <m/>
  </r>
  <r>
    <n v="1173"/>
    <d v="2021-12-13T11:10:12"/>
    <n v="19104"/>
    <x v="5"/>
    <x v="2"/>
    <n v="4"/>
    <n v="228.52042026079471"/>
    <n v="175833"/>
    <s v="Vermont"/>
    <x v="2"/>
    <n v="914.08168104317883"/>
    <s v="JOSZIM1500"/>
    <n v="228.52042026079471"/>
    <m/>
  </r>
  <r>
    <n v="1174"/>
    <d v="2021-06-22T19:44:20"/>
    <n v="11202"/>
    <x v="6"/>
    <x v="2"/>
    <n v="3"/>
    <n v="316.61768753221708"/>
    <n v="175515"/>
    <s v="Kentucky"/>
    <x v="1"/>
    <n v="949.85306259665117"/>
    <s v="JOSZIM1500"/>
    <n v="316.61768753221708"/>
    <m/>
  </r>
  <r>
    <n v="1175"/>
    <d v="2021-09-29T03:47:46"/>
    <n v="10682"/>
    <x v="20"/>
    <x v="0"/>
    <n v="7"/>
    <n v="228.35951802611089"/>
    <n v="194659"/>
    <s v="Indiana"/>
    <x v="0"/>
    <n v="1598.5166261827762"/>
    <s v="JOSZIM1500"/>
    <n v="228.35951802611089"/>
    <m/>
  </r>
  <r>
    <n v="1176"/>
    <d v="2021-04-19T23:50:36"/>
    <n v="12688"/>
    <x v="2"/>
    <x v="2"/>
    <n v="12"/>
    <n v="48.06771575672763"/>
    <n v="190965"/>
    <s v="Michigan"/>
    <x v="0"/>
    <n v="576.81258908073153"/>
    <s v="JOSZIM1500"/>
    <n v="48.06771575672763"/>
    <m/>
  </r>
  <r>
    <n v="1177"/>
    <d v="2021-01-13T07:26:09"/>
    <n v="14428"/>
    <x v="11"/>
    <x v="0"/>
    <n v="1"/>
    <n v="378.30273539475002"/>
    <n v="180695"/>
    <s v="Pennsylvania"/>
    <x v="2"/>
    <n v="378.30273539475002"/>
    <s v="JOSZIM1500"/>
    <n v="378.30273539475002"/>
    <m/>
  </r>
  <r>
    <n v="1178"/>
    <d v="2021-12-14T02:48:39"/>
    <n v="12311"/>
    <x v="3"/>
    <x v="2"/>
    <n v="8"/>
    <n v="437.57953695657852"/>
    <n v="181700"/>
    <s v="Kentucky"/>
    <x v="1"/>
    <n v="3500.6362956526282"/>
    <s v="JOSZIM1500"/>
    <n v="437.57953695657852"/>
    <m/>
  </r>
  <r>
    <n v="1179"/>
    <d v="2021-11-29T02:26:13"/>
    <n v="17770"/>
    <x v="6"/>
    <x v="1"/>
    <n v="17"/>
    <n v="139.06443800261181"/>
    <n v="157277"/>
    <s v="Vermont"/>
    <x v="2"/>
    <n v="2364.0954460444009"/>
    <s v="JOSZIM1500"/>
    <n v="139.06443800261181"/>
    <m/>
  </r>
  <r>
    <n v="1180"/>
    <d v="2021-11-08T04:36:24"/>
    <n v="10656"/>
    <x v="15"/>
    <x v="3"/>
    <n v="9"/>
    <n v="340.93754141718517"/>
    <n v="190298"/>
    <s v="Nevada"/>
    <x v="3"/>
    <n v="3068.4378727546664"/>
    <s v="JOSZIM1500"/>
    <n v="340.93754141718517"/>
    <m/>
  </r>
  <r>
    <n v="1181"/>
    <d v="2021-09-28T11:29:51"/>
    <n v="11120"/>
    <x v="9"/>
    <x v="0"/>
    <n v="15"/>
    <n v="96.556247986162745"/>
    <n v="123110"/>
    <s v="Montana"/>
    <x v="3"/>
    <n v="1448.3437197924411"/>
    <s v="JOSZIM1500"/>
    <n v="96.556247986162745"/>
    <m/>
  </r>
  <r>
    <n v="1182"/>
    <d v="2021-07-31T01:13:22"/>
    <n v="15946"/>
    <x v="19"/>
    <x v="2"/>
    <n v="18"/>
    <n v="83.263904506506236"/>
    <n v="180981"/>
    <s v="Iowa"/>
    <x v="0"/>
    <n v="1498.7502811171123"/>
    <s v="JOSZIM1500"/>
    <n v="83.263904506506236"/>
    <m/>
  </r>
  <r>
    <n v="1183"/>
    <d v="2021-05-29T00:40:23"/>
    <n v="18377"/>
    <x v="9"/>
    <x v="2"/>
    <n v="17"/>
    <n v="126.8529346409526"/>
    <n v="119833"/>
    <s v="Missouri"/>
    <x v="0"/>
    <n v="2156.4998888961941"/>
    <s v="JOSZIM1500"/>
    <n v="126.8529346409526"/>
    <m/>
  </r>
  <r>
    <n v="1184"/>
    <d v="2021-07-01T23:53:32"/>
    <n v="19597"/>
    <x v="11"/>
    <x v="2"/>
    <n v="15"/>
    <n v="305.04228094153109"/>
    <n v="183726"/>
    <s v="Texas"/>
    <x v="1"/>
    <n v="4575.6342141229661"/>
    <s v="JOSZIM1500"/>
    <n v="305.04228094153109"/>
    <m/>
  </r>
  <r>
    <n v="1185"/>
    <d v="2021-05-12T03:38:37"/>
    <n v="19560"/>
    <x v="15"/>
    <x v="2"/>
    <n v="5"/>
    <n v="175.80018629960679"/>
    <n v="153621"/>
    <s v="Alabama"/>
    <x v="1"/>
    <n v="879.00093149803399"/>
    <s v="JOSZIM1500"/>
    <n v="175.80018629960679"/>
    <m/>
  </r>
  <r>
    <n v="1186"/>
    <d v="2021-08-20T19:55:23"/>
    <n v="13558"/>
    <x v="8"/>
    <x v="0"/>
    <n v="5"/>
    <n v="88.304415134492587"/>
    <n v="161454"/>
    <s v="Illinois"/>
    <x v="0"/>
    <n v="441.52207567246296"/>
    <s v="JOSZIM1500"/>
    <n v="88.304415134492587"/>
    <m/>
  </r>
  <r>
    <n v="1187"/>
    <d v="2021-07-04T04:08:04"/>
    <n v="11292"/>
    <x v="2"/>
    <x v="0"/>
    <n v="13"/>
    <n v="73.705039000201481"/>
    <n v="128369"/>
    <s v="Oklahoma"/>
    <x v="1"/>
    <n v="958.16550700261928"/>
    <s v="JOSZIM1500"/>
    <n v="73.705039000201481"/>
    <m/>
  </r>
  <r>
    <n v="1188"/>
    <d v="2021-06-18T11:55:10"/>
    <n v="10139"/>
    <x v="13"/>
    <x v="3"/>
    <n v="5"/>
    <n v="434.15115550479408"/>
    <n v="157694"/>
    <s v="Wisconsin"/>
    <x v="0"/>
    <n v="2170.7557775239702"/>
    <s v="JOSZIM1500"/>
    <n v="434.15115550479408"/>
    <m/>
  </r>
  <r>
    <n v="1189"/>
    <d v="2021-02-26T07:13:04"/>
    <n v="13744"/>
    <x v="19"/>
    <x v="2"/>
    <n v="7"/>
    <n v="22.853508296326371"/>
    <n v="133851"/>
    <s v="West Virginia"/>
    <x v="1"/>
    <n v="159.9745580742846"/>
    <s v="JOSZIM1500"/>
    <n v="22.853508296326371"/>
    <m/>
  </r>
  <r>
    <n v="1190"/>
    <d v="2021-02-23T01:16:34"/>
    <n v="19734"/>
    <x v="4"/>
    <x v="1"/>
    <n v="11"/>
    <n v="211.4290818285036"/>
    <n v="127500"/>
    <s v="Iowa"/>
    <x v="0"/>
    <n v="2325.7199001135396"/>
    <s v="JOSZIM1500"/>
    <n v="211.4290818285036"/>
    <m/>
  </r>
  <r>
    <n v="1191"/>
    <d v="2021-07-29T04:41:03"/>
    <n v="12770"/>
    <x v="2"/>
    <x v="2"/>
    <n v="16"/>
    <n v="203.97456277181709"/>
    <n v="128258"/>
    <s v="Vermont"/>
    <x v="2"/>
    <n v="3263.5930043490735"/>
    <s v="JOSZIM1500"/>
    <n v="203.97456277181709"/>
    <m/>
  </r>
  <r>
    <n v="1192"/>
    <d v="2021-11-18T14:05:32"/>
    <n v="10890"/>
    <x v="8"/>
    <x v="1"/>
    <n v="17"/>
    <n v="379.37272310062548"/>
    <n v="134144"/>
    <s v="Arkansas"/>
    <x v="1"/>
    <n v="6449.3362927106327"/>
    <s v="JOSZIM1500"/>
    <n v="379.37272310062548"/>
    <m/>
  </r>
  <r>
    <n v="1193"/>
    <d v="2021-12-12T10:53:23"/>
    <n v="14757"/>
    <x v="18"/>
    <x v="1"/>
    <n v="16"/>
    <n v="287.48388425601752"/>
    <n v="169216"/>
    <s v="Idaho"/>
    <x v="3"/>
    <n v="4599.7421480962803"/>
    <s v="JOSZIM1500"/>
    <n v="287.48388425601752"/>
    <m/>
  </r>
  <r>
    <n v="1194"/>
    <d v="2021-11-11T21:43:17"/>
    <n v="11961"/>
    <x v="14"/>
    <x v="2"/>
    <n v="14"/>
    <n v="339.51377591426018"/>
    <n v="112765"/>
    <s v="New York"/>
    <x v="2"/>
    <n v="4753.1928627996422"/>
    <s v="JOSZIM1500"/>
    <n v="339.51377591426018"/>
    <m/>
  </r>
  <r>
    <n v="1195"/>
    <d v="2021-04-22T02:19:50"/>
    <n v="17700"/>
    <x v="0"/>
    <x v="1"/>
    <n v="7"/>
    <n v="414.29807376333781"/>
    <n v="135894"/>
    <s v="Vermont"/>
    <x v="2"/>
    <n v="2900.0865163433646"/>
    <s v="JOSZIM1500"/>
    <n v="414.29807376333781"/>
    <m/>
  </r>
  <r>
    <n v="1196"/>
    <d v="2021-11-20T14:40:18"/>
    <n v="13802"/>
    <x v="16"/>
    <x v="0"/>
    <n v="5"/>
    <n v="379.3142933445252"/>
    <n v="120503"/>
    <s v="New York"/>
    <x v="2"/>
    <n v="1896.5714667226259"/>
    <s v="JOSZIM1500"/>
    <n v="379.3142933445252"/>
    <m/>
  </r>
  <r>
    <n v="1197"/>
    <d v="2021-11-24T09:06:32"/>
    <n v="14241"/>
    <x v="11"/>
    <x v="1"/>
    <n v="7"/>
    <n v="92.187291779065973"/>
    <n v="105482"/>
    <s v="Florida"/>
    <x v="1"/>
    <n v="645.31104245346182"/>
    <s v="JOSZIM1500"/>
    <n v="92.187291779065973"/>
    <m/>
  </r>
  <r>
    <n v="1198"/>
    <d v="2021-08-15T14:43:32"/>
    <n v="13036"/>
    <x v="9"/>
    <x v="0"/>
    <n v="9"/>
    <n v="275.34975524403762"/>
    <n v="136919"/>
    <s v="Arizona"/>
    <x v="3"/>
    <n v="2478.1477971963386"/>
    <s v="JOSZIM1500"/>
    <n v="275.34975524403762"/>
    <m/>
  </r>
  <r>
    <n v="1199"/>
    <d v="2021-06-10T14:03:55"/>
    <n v="18224"/>
    <x v="5"/>
    <x v="0"/>
    <n v="5"/>
    <n v="213.4591025384463"/>
    <n v="141951"/>
    <s v="Illinois"/>
    <x v="0"/>
    <n v="1067.2955126922316"/>
    <s v="JOSZIM1500"/>
    <n v="213.4591025384463"/>
    <m/>
  </r>
  <r>
    <n v="1200"/>
    <d v="2021-04-14T13:53:46"/>
    <n v="19623"/>
    <x v="16"/>
    <x v="3"/>
    <n v="4"/>
    <n v="452.49350645213349"/>
    <n v="156368"/>
    <s v="West Virginia"/>
    <x v="1"/>
    <n v="1809.974025808534"/>
    <s v="JOSZIM1500"/>
    <n v="452.49350645213349"/>
    <m/>
  </r>
  <r>
    <n v="1201"/>
    <d v="2021-11-30T11:07:23"/>
    <n v="13118"/>
    <x v="16"/>
    <x v="3"/>
    <n v="3"/>
    <n v="223.42179430290889"/>
    <n v="161078"/>
    <s v="Maine"/>
    <x v="2"/>
    <n v="670.26538290872668"/>
    <s v="JOSZIM1500"/>
    <n v="223.42179430290889"/>
    <m/>
  </r>
  <r>
    <n v="1202"/>
    <d v="2021-01-13T13:09:40"/>
    <n v="19356"/>
    <x v="4"/>
    <x v="3"/>
    <n v="2"/>
    <n v="464.27069037764898"/>
    <n v="147190"/>
    <s v="Ohio"/>
    <x v="0"/>
    <n v="928.54138075529795"/>
    <s v="JOSZIM1500"/>
    <n v="464.27069037764898"/>
    <m/>
  </r>
  <r>
    <n v="1203"/>
    <d v="2021-08-20T02:53:32"/>
    <n v="17374"/>
    <x v="4"/>
    <x v="2"/>
    <n v="19"/>
    <n v="39.813877995703422"/>
    <n v="190038"/>
    <s v="Tennessee"/>
    <x v="1"/>
    <n v="756.46368191836495"/>
    <s v="JOSZIM1500"/>
    <n v="39.813877995703422"/>
    <m/>
  </r>
  <r>
    <n v="1204"/>
    <d v="2021-02-23T13:45:56"/>
    <n v="18654"/>
    <x v="19"/>
    <x v="0"/>
    <n v="15"/>
    <n v="71.639819533460155"/>
    <n v="102027"/>
    <s v="Illinois"/>
    <x v="0"/>
    <n v="1074.5972930019022"/>
    <s v="JOSZIM1500"/>
    <n v="71.639819533460155"/>
    <m/>
  </r>
  <r>
    <n v="1205"/>
    <d v="2021-01-18T15:08:13"/>
    <n v="18224"/>
    <x v="2"/>
    <x v="1"/>
    <n v="7"/>
    <n v="27.787190411337761"/>
    <n v="119808"/>
    <s v="Kansas"/>
    <x v="0"/>
    <n v="194.51033287936434"/>
    <s v="JOSZIM1500"/>
    <n v="27.787190411337761"/>
    <m/>
  </r>
  <r>
    <n v="1206"/>
    <d v="2021-11-03T11:21:28"/>
    <n v="15644"/>
    <x v="13"/>
    <x v="0"/>
    <n v="6"/>
    <n v="350.31526229010939"/>
    <n v="146589"/>
    <s v="Colorado"/>
    <x v="3"/>
    <n v="2101.8915737406564"/>
    <s v="JOSZIM1500"/>
    <n v="350.31526229010939"/>
    <m/>
  </r>
  <r>
    <n v="1207"/>
    <d v="2021-08-09T05:31:58"/>
    <n v="14641"/>
    <x v="15"/>
    <x v="3"/>
    <n v="6"/>
    <n v="220.01745741012661"/>
    <n v="195892"/>
    <s v="Connecticut"/>
    <x v="2"/>
    <n v="1320.1047444607598"/>
    <s v="JOSZIM1500"/>
    <n v="220.01745741012661"/>
    <m/>
  </r>
  <r>
    <n v="1208"/>
    <d v="2021-08-20T07:48:16"/>
    <n v="13356"/>
    <x v="3"/>
    <x v="2"/>
    <n v="9"/>
    <n v="476.49959980156711"/>
    <n v="120109"/>
    <s v="Idaho"/>
    <x v="3"/>
    <n v="4288.4963982141044"/>
    <s v="JOSZIM1500"/>
    <n v="476.49959980156711"/>
    <m/>
  </r>
  <r>
    <n v="1209"/>
    <d v="2021-03-16T19:19:11"/>
    <n v="16797"/>
    <x v="2"/>
    <x v="0"/>
    <n v="5"/>
    <n v="211.7272079410352"/>
    <n v="177118"/>
    <s v="North Carolina"/>
    <x v="1"/>
    <n v="1058.636039705176"/>
    <s v="JOSZIM1500"/>
    <n v="211.7272079410352"/>
    <m/>
  </r>
  <r>
    <n v="1210"/>
    <d v="2021-09-09T05:28:30"/>
    <n v="16780"/>
    <x v="18"/>
    <x v="3"/>
    <n v="15"/>
    <n v="150.5176227393404"/>
    <n v="126566"/>
    <s v="New York"/>
    <x v="2"/>
    <n v="2257.764341090106"/>
    <s v="JOSZIM1500"/>
    <n v="150.5176227393404"/>
    <m/>
  </r>
  <r>
    <n v="1211"/>
    <d v="2021-07-04T17:31:33"/>
    <n v="19804"/>
    <x v="17"/>
    <x v="3"/>
    <n v="1"/>
    <n v="296.74535624091823"/>
    <n v="102405"/>
    <s v="Louisiana"/>
    <x v="1"/>
    <n v="296.74535624091823"/>
    <s v="JOSZIM1500"/>
    <n v="296.74535624091823"/>
    <m/>
  </r>
  <r>
    <n v="1212"/>
    <d v="2021-05-31T07:06:30"/>
    <n v="10287"/>
    <x v="19"/>
    <x v="3"/>
    <n v="3"/>
    <n v="419.11931087655722"/>
    <n v="160990"/>
    <s v="Arizona"/>
    <x v="3"/>
    <n v="1257.3579326296717"/>
    <s v="JOSZIM1500"/>
    <n v="419.11931087655722"/>
    <m/>
  </r>
  <r>
    <n v="1213"/>
    <d v="2021-08-10T10:57:54"/>
    <n v="19167"/>
    <x v="11"/>
    <x v="3"/>
    <n v="11"/>
    <n v="365.58697927963289"/>
    <n v="157122"/>
    <s v="Iowa"/>
    <x v="0"/>
    <n v="4021.4567720759619"/>
    <s v="JOSZIM1500"/>
    <n v="365.58697927963289"/>
    <m/>
  </r>
  <r>
    <n v="1214"/>
    <d v="2021-01-10T19:01:47"/>
    <n v="17276"/>
    <x v="18"/>
    <x v="0"/>
    <n v="16"/>
    <n v="354.96854587674699"/>
    <n v="178053"/>
    <s v="California"/>
    <x v="3"/>
    <n v="5679.4967340279518"/>
    <s v="JOSZIM1500"/>
    <n v="354.96854587674699"/>
    <m/>
  </r>
  <r>
    <n v="1215"/>
    <d v="2021-05-05T19:07:02"/>
    <n v="16873"/>
    <x v="12"/>
    <x v="3"/>
    <n v="4"/>
    <n v="36.549225590547387"/>
    <n v="197766"/>
    <s v="Connecticut"/>
    <x v="2"/>
    <n v="146.19690236218955"/>
    <s v="JOSZIM1500"/>
    <n v="36.549225590547387"/>
    <m/>
  </r>
  <r>
    <n v="1216"/>
    <d v="2021-12-24T14:54:33"/>
    <n v="17386"/>
    <x v="7"/>
    <x v="2"/>
    <n v="10"/>
    <n v="264.31420293385878"/>
    <n v="106690"/>
    <s v="Colorado"/>
    <x v="3"/>
    <n v="2643.1420293385877"/>
    <s v="JOSZIM1500"/>
    <n v="264.31420293385878"/>
    <m/>
  </r>
  <r>
    <n v="1217"/>
    <d v="2021-09-29T22:37:38"/>
    <n v="13545"/>
    <x v="9"/>
    <x v="2"/>
    <n v="10"/>
    <n v="262.93599539610597"/>
    <n v="111571"/>
    <s v="North Dakota"/>
    <x v="0"/>
    <n v="2629.3599539610595"/>
    <s v="JOSZIM1500"/>
    <m/>
    <m/>
  </r>
  <r>
    <n v="1218"/>
    <d v="2021-07-26T02:25:11"/>
    <n v="19063"/>
    <x v="5"/>
    <x v="1"/>
    <n v="19"/>
    <n v="489.51998330943121"/>
    <n v="112638"/>
    <s v="Missouri"/>
    <x v="0"/>
    <n v="9300.8796828791928"/>
    <s v="JOSZIM1500"/>
    <n v="489.51998330943121"/>
    <m/>
  </r>
  <r>
    <n v="1219"/>
    <d v="2021-05-14T05:12:40"/>
    <n v="14856"/>
    <x v="12"/>
    <x v="3"/>
    <n v="7"/>
    <n v="312.34297778979749"/>
    <n v="165706"/>
    <s v="South Carolina"/>
    <x v="1"/>
    <n v="2186.4008445285826"/>
    <s v="JOSZIM1500"/>
    <n v="312.34297778979749"/>
    <m/>
  </r>
  <r>
    <n v="1220"/>
    <d v="2021-03-06T19:50:05"/>
    <n v="15998"/>
    <x v="15"/>
    <x v="3"/>
    <n v="13"/>
    <n v="250.7421662511222"/>
    <n v="147622"/>
    <s v="Tennessee"/>
    <x v="1"/>
    <n v="3259.6481612645885"/>
    <s v="JOSZIM1500"/>
    <n v="250.7421662511222"/>
    <m/>
  </r>
  <r>
    <n v="1221"/>
    <d v="2021-02-21T02:14:56"/>
    <n v="11004"/>
    <x v="13"/>
    <x v="2"/>
    <n v="12"/>
    <n v="303.25890217699902"/>
    <n v="180028"/>
    <s v="Florida"/>
    <x v="1"/>
    <n v="3639.106826123988"/>
    <s v="JOSZIM1500"/>
    <n v="303.25890217699902"/>
    <m/>
  </r>
  <r>
    <n v="1222"/>
    <d v="2021-04-16T08:17:37"/>
    <n v="15825"/>
    <x v="15"/>
    <x v="3"/>
    <n v="1"/>
    <n v="385.96318023396788"/>
    <n v="131564"/>
    <s v="Oklahoma"/>
    <x v="1"/>
    <n v="385.96318023396788"/>
    <s v="JOSZIM1500"/>
    <n v="385.96318023396788"/>
    <m/>
  </r>
  <r>
    <n v="1223"/>
    <d v="2021-12-30T20:40:25"/>
    <n v="17091"/>
    <x v="16"/>
    <x v="2"/>
    <n v="18"/>
    <n v="131.69839779721161"/>
    <n v="192080"/>
    <s v="Washington"/>
    <x v="3"/>
    <n v="2370.5711603498089"/>
    <s v="JOSZIM1500"/>
    <n v="131.69839779721161"/>
    <m/>
  </r>
  <r>
    <n v="1224"/>
    <d v="2021-07-23T23:03:50"/>
    <n v="13901"/>
    <x v="10"/>
    <x v="2"/>
    <n v="14"/>
    <n v="376.90480398283353"/>
    <n v="180306"/>
    <s v="Maryland"/>
    <x v="1"/>
    <n v="5276.6672557596694"/>
    <s v="JOSZIM1500"/>
    <n v="376.90480398283353"/>
    <m/>
  </r>
  <r>
    <n v="1225"/>
    <d v="2021-11-10T02:44:41"/>
    <n v="16839"/>
    <x v="10"/>
    <x v="1"/>
    <n v="18"/>
    <n v="227.01025745829341"/>
    <n v="117599"/>
    <s v="Arkansas"/>
    <x v="1"/>
    <n v="4086.1846342492813"/>
    <s v="JOSZIM1500"/>
    <n v="227.01025745829341"/>
    <m/>
  </r>
  <r>
    <n v="1226"/>
    <d v="2021-10-14T14:53:12"/>
    <n v="15718"/>
    <x v="14"/>
    <x v="0"/>
    <n v="1"/>
    <n v="262.93599539610597"/>
    <n v="150507"/>
    <s v="Massachusetts"/>
    <x v="2"/>
    <n v="262.93599539610597"/>
    <s v="JOSZIM1500"/>
    <m/>
    <m/>
  </r>
  <r>
    <n v="1227"/>
    <d v="2021-01-31T11:03:26"/>
    <n v="13791"/>
    <x v="9"/>
    <x v="3"/>
    <n v="6"/>
    <n v="74.518829181083788"/>
    <n v="194954"/>
    <s v="Massachusetts"/>
    <x v="2"/>
    <n v="447.11297508650273"/>
    <s v="JOSZIM1500"/>
    <n v="74.518829181083788"/>
    <m/>
  </r>
  <r>
    <n v="1228"/>
    <d v="2021-10-04T14:30:48"/>
    <n v="12247"/>
    <x v="9"/>
    <x v="0"/>
    <n v="19"/>
    <n v="315.99917674005462"/>
    <n v="179540"/>
    <s v="California"/>
    <x v="3"/>
    <n v="6003.9843580610377"/>
    <s v="JOSZIM1500"/>
    <n v="315.99917674005462"/>
    <m/>
  </r>
  <r>
    <n v="1229"/>
    <d v="2021-07-09T23:06:39"/>
    <n v="13964"/>
    <x v="12"/>
    <x v="1"/>
    <n v="1"/>
    <n v="121.1702373621825"/>
    <n v="109589"/>
    <s v="Alaska"/>
    <x v="3"/>
    <n v="121.1702373621825"/>
    <s v="JOSZIM1500"/>
    <n v="121.1702373621825"/>
    <m/>
  </r>
  <r>
    <n v="1230"/>
    <d v="2021-08-11T04:17:47"/>
    <n v="17910"/>
    <x v="19"/>
    <x v="0"/>
    <n v="11"/>
    <n v="459.42434379354421"/>
    <n v="113388"/>
    <s v="Wyoming"/>
    <x v="3"/>
    <n v="5053.6677817289865"/>
    <s v="JOSZIM1500"/>
    <n v="459.42434379354421"/>
    <m/>
  </r>
  <r>
    <n v="1231"/>
    <d v="2021-10-25T04:25:30"/>
    <n v="19915"/>
    <x v="20"/>
    <x v="3"/>
    <n v="15"/>
    <n v="386.20236803685123"/>
    <n v="181647"/>
    <s v="Missouri"/>
    <x v="0"/>
    <n v="5793.0355205527685"/>
    <s v="JOSZIM1500"/>
    <n v="386.20236803685123"/>
    <m/>
  </r>
  <r>
    <n v="1232"/>
    <d v="2021-09-23T12:59:11"/>
    <n v="14772"/>
    <x v="10"/>
    <x v="1"/>
    <n v="12"/>
    <n v="262.93599539610597"/>
    <n v="148176"/>
    <s v="New Mexico"/>
    <x v="3"/>
    <n v="3155.2319447532718"/>
    <s v="JOSZIM1500"/>
    <m/>
    <m/>
  </r>
  <r>
    <n v="1233"/>
    <d v="2021-04-28T11:04:32"/>
    <n v="16966"/>
    <x v="8"/>
    <x v="3"/>
    <n v="13"/>
    <n v="15.15715818143701"/>
    <n v="167973"/>
    <s v="Wisconsin"/>
    <x v="0"/>
    <n v="197.04305635868113"/>
    <s v="JOSZIM1500"/>
    <n v="15.15715818143701"/>
    <m/>
  </r>
  <r>
    <n v="1234"/>
    <d v="2021-07-17T16:01:02"/>
    <n v="13456"/>
    <x v="20"/>
    <x v="0"/>
    <n v="7"/>
    <n v="431.72319363853728"/>
    <n v="123854"/>
    <s v="Arkansas"/>
    <x v="1"/>
    <n v="3022.0623554697609"/>
    <s v="JOSZIM1500"/>
    <n v="431.72319363853728"/>
    <m/>
  </r>
  <r>
    <n v="1235"/>
    <d v="2021-11-17T03:35:05"/>
    <n v="12755"/>
    <x v="7"/>
    <x v="1"/>
    <n v="15"/>
    <n v="454.87471620902539"/>
    <n v="150004"/>
    <s v="New York"/>
    <x v="2"/>
    <n v="6823.1207431353805"/>
    <s v="JOSZIM1500"/>
    <n v="454.87471620902539"/>
    <m/>
  </r>
  <r>
    <n v="1236"/>
    <d v="2021-02-15T08:39:31"/>
    <n v="17559"/>
    <x v="7"/>
    <x v="2"/>
    <n v="19"/>
    <n v="482.6945631565132"/>
    <n v="136723"/>
    <s v="Alabama"/>
    <x v="1"/>
    <n v="9171.1966999737506"/>
    <s v="JOSZIM1500"/>
    <n v="482.6945631565132"/>
    <m/>
  </r>
  <r>
    <n v="1237"/>
    <d v="2021-06-01T11:09:37"/>
    <n v="16904"/>
    <x v="7"/>
    <x v="2"/>
    <n v="6"/>
    <n v="292.41573258742432"/>
    <n v="135308"/>
    <s v="Maryland"/>
    <x v="1"/>
    <n v="1754.4943955245458"/>
    <s v="JOSZIM1500"/>
    <n v="292.41573258742432"/>
    <m/>
  </r>
  <r>
    <n v="1238"/>
    <d v="2021-02-25T08:45:25"/>
    <n v="15746"/>
    <x v="7"/>
    <x v="2"/>
    <n v="8"/>
    <n v="224.7880535246172"/>
    <n v="156729"/>
    <s v="Illinois"/>
    <x v="0"/>
    <n v="1798.3044281969376"/>
    <s v="JOSZIM1500"/>
    <n v="224.7880535246172"/>
    <m/>
  </r>
  <r>
    <n v="1239"/>
    <d v="2021-04-07T06:41:01"/>
    <n v="15234"/>
    <x v="11"/>
    <x v="0"/>
    <n v="13"/>
    <n v="214.4816812296763"/>
    <n v="115719"/>
    <s v="Arizona"/>
    <x v="3"/>
    <n v="2788.261855985792"/>
    <s v="JOSZIM1500"/>
    <n v="214.4816812296763"/>
    <m/>
  </r>
  <r>
    <n v="1240"/>
    <d v="2021-01-22T22:54:33"/>
    <n v="17006"/>
    <x v="7"/>
    <x v="3"/>
    <n v="18"/>
    <n v="242.57741178500081"/>
    <n v="138248"/>
    <s v="Nebraska"/>
    <x v="0"/>
    <n v="4366.3934121300144"/>
    <s v="JOSZIM1500"/>
    <n v="242.57741178500081"/>
    <m/>
  </r>
  <r>
    <n v="1241"/>
    <d v="2021-08-17T21:39:02"/>
    <n v="17291"/>
    <x v="18"/>
    <x v="1"/>
    <n v="1"/>
    <n v="262.93599539610597"/>
    <n v="168645"/>
    <s v="Minnesota"/>
    <x v="0"/>
    <n v="262.93599539610597"/>
    <s v="JOSZIM1500"/>
    <m/>
    <m/>
  </r>
  <r>
    <n v="1242"/>
    <d v="2021-12-04T11:10:40"/>
    <n v="19281"/>
    <x v="18"/>
    <x v="3"/>
    <n v="18"/>
    <n v="400.49515397143853"/>
    <n v="106941"/>
    <s v="Wyoming"/>
    <x v="3"/>
    <n v="7208.9127714858932"/>
    <s v="JOSZIM1500"/>
    <n v="400.49515397143853"/>
    <m/>
  </r>
  <r>
    <n v="1243"/>
    <d v="2021-07-03T17:46:20"/>
    <n v="16367"/>
    <x v="20"/>
    <x v="0"/>
    <n v="1"/>
    <n v="48.858779428715543"/>
    <n v="127049"/>
    <s v="Florida"/>
    <x v="1"/>
    <n v="48.858779428715543"/>
    <s v="JOSZIM1500"/>
    <n v="48.858779428715543"/>
    <m/>
  </r>
  <r>
    <n v="1244"/>
    <d v="2021-06-28T00:08:41"/>
    <n v="11862"/>
    <x v="12"/>
    <x v="0"/>
    <n v="6"/>
    <n v="142.05781686626551"/>
    <n v="132075"/>
    <s v="Illinois"/>
    <x v="0"/>
    <n v="852.34690119759307"/>
    <s v="JOSZIM1500"/>
    <n v="142.05781686626551"/>
    <m/>
  </r>
  <r>
    <n v="1245"/>
    <d v="2021-01-18T05:50:53"/>
    <n v="10935"/>
    <x v="4"/>
    <x v="0"/>
    <n v="18"/>
    <n v="370.1656821981469"/>
    <n v="104186"/>
    <s v="Colorado"/>
    <x v="3"/>
    <n v="6662.9822795666441"/>
    <s v="JOSZIM1500"/>
    <n v="370.1656821981469"/>
    <m/>
  </r>
  <r>
    <n v="1142"/>
    <d v="2021-06-23T01:27:19"/>
    <n v="18450"/>
    <x v="9"/>
    <x v="1"/>
    <n v="7"/>
    <n v="282.88286482889242"/>
    <n v="125750"/>
    <s v="New Jersey"/>
    <x v="2"/>
    <n v="1980.1800538022469"/>
    <s v="JOSZIM1500"/>
    <n v="282.88286482889242"/>
    <m/>
  </r>
  <r>
    <n v="1246"/>
    <d v="2021-03-07T01:29:35"/>
    <n v="18693"/>
    <x v="3"/>
    <x v="1"/>
    <n v="12"/>
    <n v="236.83490007610541"/>
    <n v="125222"/>
    <s v="Kentucky"/>
    <x v="1"/>
    <n v="2842.0188009132648"/>
    <s v="JOSZIM1500"/>
    <n v="236.83490007610541"/>
    <m/>
  </r>
  <r>
    <n v="1247"/>
    <d v="2021-12-24T22:48:21"/>
    <n v="10052"/>
    <x v="3"/>
    <x v="2"/>
    <n v="5"/>
    <n v="121.3226923751828"/>
    <n v="111990"/>
    <s v="Illinois"/>
    <x v="0"/>
    <n v="606.61346187591403"/>
    <s v="JOSZIM1500"/>
    <n v="121.3226923751828"/>
    <m/>
  </r>
  <r>
    <n v="1248"/>
    <d v="2021-11-26T12:04:36"/>
    <n v="13656"/>
    <x v="17"/>
    <x v="0"/>
    <n v="10"/>
    <n v="234.76241539954259"/>
    <n v="100364"/>
    <s v="New Jersey"/>
    <x v="2"/>
    <n v="2347.6241539954258"/>
    <s v="JOSZIM1500"/>
    <n v="234.76241539954259"/>
    <m/>
  </r>
  <r>
    <n v="1249"/>
    <d v="2021-06-01T08:15:41"/>
    <n v="10870"/>
    <x v="16"/>
    <x v="3"/>
    <n v="1"/>
    <n v="412.55575788571372"/>
    <n v="139197"/>
    <s v="Texas"/>
    <x v="1"/>
    <n v="412.55575788571372"/>
    <s v="JOSZIM1500"/>
    <n v="412.55575788571372"/>
    <m/>
  </r>
  <r>
    <n v="1250"/>
    <d v="2021-07-05T02:06:16"/>
    <n v="14185"/>
    <x v="16"/>
    <x v="0"/>
    <n v="16"/>
    <n v="107.66662366922461"/>
    <n v="183794"/>
    <s v="Alabama"/>
    <x v="1"/>
    <n v="1722.6659787075937"/>
    <s v="JOSZIM1500"/>
    <n v="107.66662366922461"/>
    <m/>
  </r>
  <r>
    <n v="1251"/>
    <d v="2021-09-22T14:52:22"/>
    <n v="17266"/>
    <x v="9"/>
    <x v="2"/>
    <n v="5"/>
    <n v="459.35644978264708"/>
    <n v="152186"/>
    <s v="Maine"/>
    <x v="2"/>
    <n v="2296.7822489132354"/>
    <s v="JOSZIM1500"/>
    <n v="459.35644978264708"/>
    <m/>
  </r>
  <r>
    <n v="1252"/>
    <d v="2021-03-06T11:26:47"/>
    <n v="17567"/>
    <x v="17"/>
    <x v="0"/>
    <n v="10"/>
    <n v="275.17875012768383"/>
    <n v="102635"/>
    <s v="Iowa"/>
    <x v="0"/>
    <n v="2751.7875012768382"/>
    <s v="JOSZIM1500"/>
    <n v="275.17875012768383"/>
    <m/>
  </r>
  <r>
    <n v="1253"/>
    <d v="2021-10-27T01:49:23"/>
    <n v="12560"/>
    <x v="17"/>
    <x v="1"/>
    <n v="4"/>
    <n v="222.19700811155209"/>
    <n v="124565"/>
    <s v="Wisconsin"/>
    <x v="0"/>
    <n v="888.78803244620838"/>
    <s v="JOSZIM1500"/>
    <n v="222.19700811155209"/>
    <m/>
  </r>
  <r>
    <n v="1254"/>
    <d v="2021-01-10T00:34:04"/>
    <n v="13538"/>
    <x v="6"/>
    <x v="3"/>
    <n v="19"/>
    <n v="101.974195683796"/>
    <n v="108149"/>
    <s v="Ohio"/>
    <x v="0"/>
    <n v="1937.509717992124"/>
    <s v="JOSZIM1500"/>
    <n v="101.974195683796"/>
    <m/>
  </r>
  <r>
    <n v="1255"/>
    <d v="2021-03-18T03:43:01"/>
    <n v="18224"/>
    <x v="17"/>
    <x v="1"/>
    <n v="15"/>
    <n v="142.7309556293304"/>
    <n v="101160"/>
    <s v="Florida"/>
    <x v="1"/>
    <n v="2140.964334439956"/>
    <s v="JOSZIM1500"/>
    <n v="142.7309556293304"/>
    <m/>
  </r>
  <r>
    <n v="1256"/>
    <d v="2021-07-09T00:34:46"/>
    <n v="17348"/>
    <x v="6"/>
    <x v="1"/>
    <n v="6"/>
    <n v="181.74381990306961"/>
    <n v="156682"/>
    <s v="Oregon"/>
    <x v="3"/>
    <n v="1090.4629194184176"/>
    <s v="JOSZIM1500"/>
    <n v="181.74381990306961"/>
    <m/>
  </r>
  <r>
    <n v="1257"/>
    <d v="2021-10-11T06:17:07"/>
    <n v="16851"/>
    <x v="3"/>
    <x v="1"/>
    <n v="4"/>
    <n v="395.50636520173748"/>
    <n v="118861"/>
    <s v="California"/>
    <x v="3"/>
    <n v="1582.0254608069499"/>
    <s v="JOSZIM1500"/>
    <n v="395.50636520173748"/>
    <m/>
  </r>
  <r>
    <n v="1258"/>
    <d v="2021-09-13T15:42:28"/>
    <n v="19981"/>
    <x v="14"/>
    <x v="0"/>
    <n v="13"/>
    <n v="246.81730690956391"/>
    <n v="106121"/>
    <s v="Louisiana"/>
    <x v="1"/>
    <n v="3208.6249898243309"/>
    <s v="JOSZIM1500"/>
    <n v="246.81730690956391"/>
    <m/>
  </r>
  <r>
    <n v="1259"/>
    <d v="2021-09-11T08:26:45"/>
    <n v="17471"/>
    <x v="14"/>
    <x v="0"/>
    <n v="9"/>
    <n v="424.65957651952328"/>
    <n v="117568"/>
    <s v="New York"/>
    <x v="2"/>
    <n v="3821.9361886757097"/>
    <s v="JOSZIM1500"/>
    <n v="424.65957651952328"/>
    <m/>
  </r>
  <r>
    <n v="1260"/>
    <d v="2021-09-29T21:31:05"/>
    <n v="11661"/>
    <x v="10"/>
    <x v="2"/>
    <n v="15"/>
    <n v="420.20311774707272"/>
    <n v="190522"/>
    <s v="Florida"/>
    <x v="1"/>
    <n v="6303.046766206091"/>
    <s v="JOSZIM1500"/>
    <n v="420.20311774707272"/>
    <m/>
  </r>
  <r>
    <n v="1261"/>
    <d v="2021-04-07T16:35:48"/>
    <n v="10987"/>
    <x v="3"/>
    <x v="0"/>
    <n v="6"/>
    <n v="492.35345500825042"/>
    <n v="159663"/>
    <s v="Colorado"/>
    <x v="3"/>
    <n v="2954.1207300495025"/>
    <s v="JOSZIM1500"/>
    <n v="492.35345500825042"/>
    <m/>
  </r>
  <r>
    <n v="1262"/>
    <d v="2021-07-25T19:28:56"/>
    <n v="11708"/>
    <x v="13"/>
    <x v="2"/>
    <n v="9"/>
    <n v="409.53793549748258"/>
    <n v="194898"/>
    <s v="Oklahoma"/>
    <x v="1"/>
    <n v="3685.8414194773432"/>
    <s v="JOSZIM1500"/>
    <n v="409.53793549748258"/>
    <m/>
  </r>
  <r>
    <n v="1263"/>
    <d v="2021-01-04T09:25:21"/>
    <n v="14839"/>
    <x v="18"/>
    <x v="1"/>
    <n v="19"/>
    <n v="27.178001444132232"/>
    <n v="131305"/>
    <s v="Nebraska"/>
    <x v="0"/>
    <n v="516.38202743851241"/>
    <s v="JOSZIM1500"/>
    <n v="27.178001444132232"/>
    <m/>
  </r>
  <r>
    <n v="1264"/>
    <d v="2021-09-01T14:49:34"/>
    <n v="15732"/>
    <x v="17"/>
    <x v="3"/>
    <n v="3"/>
    <n v="136.3128114258682"/>
    <n v="171559"/>
    <s v="Delaware"/>
    <x v="1"/>
    <n v="408.93843427760464"/>
    <s v="JOSZIM1500"/>
    <n v="136.3128114258682"/>
    <m/>
  </r>
  <r>
    <n v="1265"/>
    <d v="2021-01-18T11:02:14"/>
    <n v="10421"/>
    <x v="13"/>
    <x v="0"/>
    <n v="11"/>
    <n v="132.7204018296496"/>
    <n v="101507"/>
    <s v="Florida"/>
    <x v="1"/>
    <n v="1459.9244201261456"/>
    <s v="JOSZIM1500"/>
    <n v="132.7204018296496"/>
    <m/>
  </r>
  <r>
    <n v="1266"/>
    <d v="2021-08-23T19:04:01"/>
    <n v="18095"/>
    <x v="9"/>
    <x v="2"/>
    <n v="15"/>
    <n v="54.104375973197918"/>
    <n v="111648"/>
    <s v="Montana"/>
    <x v="3"/>
    <n v="811.56563959796881"/>
    <s v="JOSZIM1500"/>
    <n v="54.104375973197918"/>
    <m/>
  </r>
  <r>
    <n v="1267"/>
    <d v="2021-05-07T01:49:59"/>
    <n v="15767"/>
    <x v="3"/>
    <x v="3"/>
    <n v="11"/>
    <n v="105.2959840129769"/>
    <n v="162448"/>
    <s v="California"/>
    <x v="3"/>
    <n v="1158.255824142746"/>
    <s v="JOSZIM1500"/>
    <n v="105.2959840129769"/>
    <m/>
  </r>
  <r>
    <n v="1268"/>
    <d v="2021-08-20T00:32:46"/>
    <n v="16850"/>
    <x v="8"/>
    <x v="1"/>
    <n v="16"/>
    <n v="347.35774099389329"/>
    <n v="144960"/>
    <s v="Georgia"/>
    <x v="1"/>
    <n v="5557.7238559022926"/>
    <s v="JOSZIM1500"/>
    <n v="347.35774099389329"/>
    <m/>
  </r>
  <r>
    <n v="1269"/>
    <d v="2021-09-11T02:43:41"/>
    <n v="14344"/>
    <x v="7"/>
    <x v="0"/>
    <n v="10"/>
    <n v="77.981637704251852"/>
    <n v="131712"/>
    <s v="New Jersey"/>
    <x v="2"/>
    <n v="779.81637704251852"/>
    <s v="JOSZIM1500"/>
    <n v="77.981637704251852"/>
    <m/>
  </r>
  <r>
    <n v="1270"/>
    <d v="2021-01-29T22:21:14"/>
    <n v="17579"/>
    <x v="18"/>
    <x v="1"/>
    <n v="2"/>
    <n v="262.93599539610597"/>
    <n v="153646"/>
    <s v="New Mexico"/>
    <x v="3"/>
    <n v="525.87199079221193"/>
    <s v="JOSZIM1500"/>
    <m/>
    <m/>
  </r>
  <r>
    <n v="1271"/>
    <d v="2021-04-03T16:58:32"/>
    <n v="18436"/>
    <x v="19"/>
    <x v="0"/>
    <n v="1"/>
    <n v="119.1552676677489"/>
    <n v="135911"/>
    <s v="South Carolina"/>
    <x v="1"/>
    <n v="119.1552676677489"/>
    <s v="JOSZIM1500"/>
    <n v="119.1552676677489"/>
    <m/>
  </r>
  <r>
    <n v="1272"/>
    <d v="2021-07-03T22:02:02"/>
    <n v="13912"/>
    <x v="2"/>
    <x v="1"/>
    <n v="13"/>
    <n v="482.90823011427511"/>
    <n v="192770"/>
    <s v="Minnesota"/>
    <x v="0"/>
    <n v="6277.8069914855769"/>
    <s v="JOSZIM1500"/>
    <n v="482.90823011427511"/>
    <m/>
  </r>
  <r>
    <n v="1240"/>
    <d v="2021-01-22T22:54:33"/>
    <n v="17006"/>
    <x v="7"/>
    <x v="3"/>
    <n v="18"/>
    <n v="242.57741178500081"/>
    <n v="138248"/>
    <s v="Nebraska"/>
    <x v="0"/>
    <n v="4366.3934121300144"/>
    <s v="JOSZIM1500"/>
    <n v="242.57741178500081"/>
    <m/>
  </r>
  <r>
    <n v="1273"/>
    <d v="2021-05-19T03:18:35"/>
    <n v="11309"/>
    <x v="2"/>
    <x v="2"/>
    <n v="4"/>
    <n v="413.38184143973911"/>
    <n v="162744"/>
    <s v="North Dakota"/>
    <x v="0"/>
    <n v="1653.5273657589564"/>
    <s v="JOSZIM1500"/>
    <n v="413.38184143973911"/>
    <m/>
  </r>
  <r>
    <n v="1274"/>
    <d v="2021-12-17T10:55:33"/>
    <n v="15696"/>
    <x v="10"/>
    <x v="3"/>
    <n v="2"/>
    <n v="194.37121630905901"/>
    <n v="132400"/>
    <s v="Oklahoma"/>
    <x v="1"/>
    <n v="388.74243261811802"/>
    <s v="JOSZIM1500"/>
    <n v="194.37121630905901"/>
    <m/>
  </r>
  <r>
    <n v="1275"/>
    <d v="2021-01-21T01:41:23"/>
    <n v="18015"/>
    <x v="8"/>
    <x v="2"/>
    <n v="9"/>
    <n v="411.31817167297589"/>
    <n v="129450"/>
    <s v="Illinois"/>
    <x v="0"/>
    <n v="3701.8635450567831"/>
    <s v="JOSZIM1500"/>
    <n v="411.31817167297589"/>
    <m/>
  </r>
  <r>
    <n v="1276"/>
    <d v="2021-09-16T03:14:33"/>
    <n v="14622"/>
    <x v="11"/>
    <x v="3"/>
    <n v="9"/>
    <n v="223.9348377495339"/>
    <n v="193750"/>
    <s v="Colorado"/>
    <x v="3"/>
    <n v="2015.4135397458051"/>
    <s v="JOSZIM1500"/>
    <n v="223.9348377495339"/>
    <m/>
  </r>
  <r>
    <n v="1277"/>
    <d v="2021-05-22T05:13:04"/>
    <n v="10245"/>
    <x v="15"/>
    <x v="2"/>
    <n v="7"/>
    <n v="457.45970745055291"/>
    <n v="187435"/>
    <s v="South Dakota"/>
    <x v="0"/>
    <n v="3202.2179521538706"/>
    <s v="JOSZIM1500"/>
    <n v="457.45970745055291"/>
    <m/>
  </r>
  <r>
    <n v="1278"/>
    <d v="2021-03-29T20:11:48"/>
    <n v="14352"/>
    <x v="11"/>
    <x v="0"/>
    <n v="18"/>
    <n v="317.99055817473902"/>
    <n v="133772"/>
    <s v="Utah"/>
    <x v="3"/>
    <n v="5723.8300471453022"/>
    <s v="JOSZIM1500"/>
    <n v="317.99055817473902"/>
    <m/>
  </r>
  <r>
    <n v="1279"/>
    <d v="2021-06-22T12:06:24"/>
    <n v="17287"/>
    <x v="18"/>
    <x v="2"/>
    <n v="13"/>
    <n v="131.91847828163509"/>
    <n v="197940"/>
    <s v="Tennessee"/>
    <x v="1"/>
    <n v="1714.9402176612562"/>
    <s v="JOSZIM1500"/>
    <n v="131.91847828163509"/>
    <m/>
  </r>
  <r>
    <n v="1280"/>
    <d v="2021-08-11T20:33:28"/>
    <n v="16027"/>
    <x v="12"/>
    <x v="3"/>
    <n v="10"/>
    <n v="36.260867494926707"/>
    <n v="198835"/>
    <s v="Massachusetts"/>
    <x v="2"/>
    <n v="362.60867494926708"/>
    <s v="JOSZIM1500"/>
    <n v="36.260867494926707"/>
    <m/>
  </r>
  <r>
    <n v="1281"/>
    <d v="2021-07-18T03:46:14"/>
    <n v="18102"/>
    <x v="19"/>
    <x v="2"/>
    <n v="2"/>
    <n v="148.32892412868591"/>
    <n v="161869"/>
    <s v="Iowa"/>
    <x v="0"/>
    <n v="296.65784825737182"/>
    <s v="JOSZIM1500"/>
    <n v="148.32892412868591"/>
    <m/>
  </r>
  <r>
    <n v="1282"/>
    <d v="2021-01-22T22:49:40"/>
    <n v="11567"/>
    <x v="5"/>
    <x v="3"/>
    <n v="13"/>
    <n v="395.1171830452468"/>
    <n v="194548"/>
    <s v="Nevada"/>
    <x v="3"/>
    <n v="5136.5233795882086"/>
    <s v="JOSZIM1500"/>
    <n v="395.1171830452468"/>
    <m/>
  </r>
  <r>
    <n v="1283"/>
    <d v="2021-08-31T15:49:52"/>
    <n v="17567"/>
    <x v="2"/>
    <x v="0"/>
    <n v="12"/>
    <n v="369.40364593894623"/>
    <n v="167552"/>
    <s v="Florida"/>
    <x v="1"/>
    <n v="4432.8437512673545"/>
    <s v="JOSZIM1500"/>
    <n v="369.40364593894623"/>
    <m/>
  </r>
  <r>
    <n v="1284"/>
    <d v="2021-06-15T05:53:47"/>
    <n v="11024"/>
    <x v="7"/>
    <x v="1"/>
    <n v="4"/>
    <n v="341.70295202542007"/>
    <n v="143250"/>
    <s v="Utah"/>
    <x v="3"/>
    <n v="1366.8118081016803"/>
    <s v="JOSZIM1500"/>
    <n v="341.70295202542007"/>
    <m/>
  </r>
  <r>
    <n v="1285"/>
    <d v="2021-09-15T09:56:40"/>
    <n v="11256"/>
    <x v="20"/>
    <x v="0"/>
    <n v="15"/>
    <n v="482.46789028674419"/>
    <n v="158646"/>
    <s v="Iowa"/>
    <x v="0"/>
    <n v="7237.0183543011626"/>
    <s v="JOSZIM1500"/>
    <n v="482.46789028674419"/>
    <m/>
  </r>
  <r>
    <n v="1286"/>
    <d v="2021-02-19T11:07:39"/>
    <n v="15026"/>
    <x v="6"/>
    <x v="3"/>
    <n v="3"/>
    <n v="389.40280215074108"/>
    <n v="152061"/>
    <s v="Indiana"/>
    <x v="0"/>
    <n v="1168.2084064522232"/>
    <s v="JOSZIM1500"/>
    <n v="389.40280215074108"/>
    <m/>
  </r>
  <r>
    <n v="1287"/>
    <d v="2021-10-15T11:39:31"/>
    <n v="15271"/>
    <x v="10"/>
    <x v="3"/>
    <n v="7"/>
    <n v="460.34935054896482"/>
    <n v="187103"/>
    <s v="Texas"/>
    <x v="1"/>
    <n v="3222.4454538427535"/>
    <s v="JOSZIM1500"/>
    <n v="460.34935054896482"/>
    <m/>
  </r>
  <r>
    <n v="1288"/>
    <d v="2021-12-12T01:50:12"/>
    <n v="18638"/>
    <x v="0"/>
    <x v="1"/>
    <n v="11"/>
    <n v="300.13255612186111"/>
    <n v="179792"/>
    <s v="Colorado"/>
    <x v="3"/>
    <n v="3301.4581173404722"/>
    <s v="JOSZIM1500"/>
    <n v="300.13255612186111"/>
    <m/>
  </r>
  <r>
    <n v="1289"/>
    <d v="2021-01-01T13:33:37"/>
    <n v="14542"/>
    <x v="15"/>
    <x v="3"/>
    <n v="4"/>
    <n v="114.0988217852049"/>
    <n v="190566"/>
    <s v="Kansas"/>
    <x v="0"/>
    <n v="456.39528714081962"/>
    <s v="JOSZIM1500"/>
    <n v="114.0988217852049"/>
    <m/>
  </r>
  <r>
    <n v="1290"/>
    <d v="2021-03-16T17:56:11"/>
    <n v="11770"/>
    <x v="0"/>
    <x v="2"/>
    <n v="3"/>
    <n v="214.05603786336721"/>
    <n v="185621"/>
    <s v="Louisiana"/>
    <x v="1"/>
    <n v="642.1681135901016"/>
    <s v="JOSZIM1500"/>
    <n v="214.05603786336721"/>
    <m/>
  </r>
  <r>
    <n v="1291"/>
    <d v="2021-03-03T08:15:06"/>
    <n v="16300"/>
    <x v="4"/>
    <x v="0"/>
    <n v="2"/>
    <n v="237.70184916048439"/>
    <n v="116818"/>
    <s v="Kentucky"/>
    <x v="1"/>
    <n v="475.40369832096877"/>
    <s v="JOSZIM1500"/>
    <n v="237.70184916048439"/>
    <m/>
  </r>
  <r>
    <n v="1292"/>
    <d v="2021-02-04T16:39:48"/>
    <n v="13762"/>
    <x v="18"/>
    <x v="0"/>
    <n v="1"/>
    <n v="121.4747238901243"/>
    <n v="151383"/>
    <s v="Washington"/>
    <x v="3"/>
    <n v="121.4747238901243"/>
    <s v="JOSZIM1500"/>
    <n v="121.4747238901243"/>
    <m/>
  </r>
  <r>
    <n v="1293"/>
    <d v="2021-09-19T20:06:57"/>
    <n v="15119"/>
    <x v="11"/>
    <x v="2"/>
    <n v="13"/>
    <n v="66.314021775483752"/>
    <n v="118757"/>
    <s v="North Dakota"/>
    <x v="0"/>
    <n v="862.08228308128878"/>
    <s v="JOSZIM1500"/>
    <n v="66.314021775483752"/>
    <m/>
  </r>
  <r>
    <n v="1294"/>
    <d v="2021-03-29T23:18:27"/>
    <n v="16986"/>
    <x v="6"/>
    <x v="3"/>
    <n v="5"/>
    <n v="455.06273912930021"/>
    <n v="179947"/>
    <s v="New Mexico"/>
    <x v="3"/>
    <n v="2275.3136956465009"/>
    <s v="JOSZIM1500"/>
    <n v="455.06273912930021"/>
    <m/>
  </r>
  <r>
    <n v="1295"/>
    <d v="2021-07-24T23:04:46"/>
    <n v="18558"/>
    <x v="14"/>
    <x v="0"/>
    <n v="2"/>
    <n v="223.8747516271543"/>
    <n v="179898"/>
    <s v="Indiana"/>
    <x v="0"/>
    <n v="447.74950325430859"/>
    <s v="JOSZIM1500"/>
    <n v="223.8747516271543"/>
    <m/>
  </r>
  <r>
    <n v="1296"/>
    <d v="2021-05-09T02:32:36"/>
    <n v="14053"/>
    <x v="8"/>
    <x v="1"/>
    <n v="11"/>
    <n v="417.52222216762772"/>
    <n v="132550"/>
    <s v="California"/>
    <x v="3"/>
    <n v="4592.7444438439052"/>
    <s v="JOSZIM1500"/>
    <n v="417.52222216762772"/>
    <m/>
  </r>
  <r>
    <n v="1297"/>
    <d v="2021-04-11T13:40:32"/>
    <n v="19549"/>
    <x v="4"/>
    <x v="0"/>
    <n v="4"/>
    <n v="452.34434714711472"/>
    <n v="160323"/>
    <s v="New Hampshire"/>
    <x v="2"/>
    <n v="1809.3773885884589"/>
    <s v="JOSZIM1500"/>
    <n v="452.34434714711472"/>
    <m/>
  </r>
  <r>
    <n v="1298"/>
    <d v="2021-10-18T20:33:07"/>
    <n v="18284"/>
    <x v="13"/>
    <x v="1"/>
    <n v="5"/>
    <n v="427.29180645744952"/>
    <n v="165325"/>
    <s v="Alaska"/>
    <x v="3"/>
    <n v="2136.4590322872477"/>
    <s v="JOSZIM1500"/>
    <n v="427.29180645744952"/>
    <m/>
  </r>
  <r>
    <n v="1299"/>
    <d v="2021-11-04T00:44:38"/>
    <n v="11318"/>
    <x v="0"/>
    <x v="3"/>
    <n v="9"/>
    <n v="107.1183658078286"/>
    <n v="124485"/>
    <s v="Washington"/>
    <x v="3"/>
    <n v="964.06529227045735"/>
    <s v="JOSZIM1500"/>
    <n v="107.1183658078286"/>
    <m/>
  </r>
  <r>
    <n v="1300"/>
    <d v="2021-04-26T21:08:08"/>
    <n v="13334"/>
    <x v="2"/>
    <x v="0"/>
    <n v="9"/>
    <n v="245.73990047265971"/>
    <n v="121403"/>
    <s v="Indiana"/>
    <x v="0"/>
    <n v="2211.6591042539376"/>
    <s v="JOSZIM1500"/>
    <n v="245.73990047265971"/>
    <m/>
  </r>
  <r>
    <n v="1103"/>
    <d v="2021-03-23T18:07:00"/>
    <n v="17932"/>
    <x v="12"/>
    <x v="0"/>
    <n v="12"/>
    <n v="79.688305795068359"/>
    <n v="171337"/>
    <s v="South Dakota"/>
    <x v="0"/>
    <n v="956.25966954082037"/>
    <s v="JOSZIM1500"/>
    <n v="79.68830579506835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9F6372-C50D-4B6F-8BD8-D364FEB2E825}"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7:C38" firstHeaderRow="1" firstDataRow="1" firstDataCol="1"/>
  <pivotFields count="14">
    <pivotField showAll="0"/>
    <pivotField numFmtId="165" showAll="0"/>
    <pivotField showAll="0"/>
    <pivotField axis="axisRow" showAll="0">
      <items count="22">
        <item x="8"/>
        <item x="7"/>
        <item x="14"/>
        <item x="0"/>
        <item x="10"/>
        <item x="20"/>
        <item x="16"/>
        <item x="3"/>
        <item x="5"/>
        <item x="19"/>
        <item x="12"/>
        <item x="15"/>
        <item x="18"/>
        <item x="9"/>
        <item x="17"/>
        <item x="6"/>
        <item h="1" x="1"/>
        <item x="4"/>
        <item x="11"/>
        <item x="13"/>
        <item x="2"/>
        <item t="default"/>
      </items>
    </pivotField>
    <pivotField showAll="0"/>
    <pivotField showAll="0"/>
    <pivotField numFmtId="164" showAll="0"/>
    <pivotField showAll="0"/>
    <pivotField showAll="0"/>
    <pivotField showAll="0"/>
    <pivotField dataField="1" numFmtId="164" showAll="0"/>
    <pivotField showAll="0"/>
    <pivotField showAll="0"/>
    <pivotField showAll="0"/>
  </pivotFields>
  <rowFields count="1">
    <field x="3"/>
  </rowFields>
  <rowItems count="21">
    <i>
      <x/>
    </i>
    <i>
      <x v="1"/>
    </i>
    <i>
      <x v="2"/>
    </i>
    <i>
      <x v="3"/>
    </i>
    <i>
      <x v="4"/>
    </i>
    <i>
      <x v="5"/>
    </i>
    <i>
      <x v="6"/>
    </i>
    <i>
      <x v="7"/>
    </i>
    <i>
      <x v="8"/>
    </i>
    <i>
      <x v="9"/>
    </i>
    <i>
      <x v="10"/>
    </i>
    <i>
      <x v="11"/>
    </i>
    <i>
      <x v="12"/>
    </i>
    <i>
      <x v="13"/>
    </i>
    <i>
      <x v="14"/>
    </i>
    <i>
      <x v="15"/>
    </i>
    <i>
      <x v="17"/>
    </i>
    <i>
      <x v="18"/>
    </i>
    <i>
      <x v="19"/>
    </i>
    <i>
      <x v="20"/>
    </i>
    <i t="grand">
      <x/>
    </i>
  </rowItems>
  <colItems count="1">
    <i/>
  </colItems>
  <dataFields count="1">
    <dataField name="Sum of Total Sales" fld="1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10490D-1D62-465C-893E-BD96D5A05DB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F7" firstHeaderRow="1" firstDataRow="2" firstDataCol="1"/>
  <pivotFields count="14">
    <pivotField showAll="0"/>
    <pivotField numFmtId="165" showAll="0"/>
    <pivotField showAll="0"/>
    <pivotField showAll="0"/>
    <pivotField axis="axisRow" showAll="0">
      <items count="5">
        <item x="1"/>
        <item x="3"/>
        <item x="2"/>
        <item x="0"/>
        <item t="default"/>
      </items>
    </pivotField>
    <pivotField showAll="0"/>
    <pivotField numFmtId="164" showAll="0"/>
    <pivotField showAll="0"/>
    <pivotField showAll="0"/>
    <pivotField axis="axisCol" showAll="0">
      <items count="5">
        <item x="0"/>
        <item x="2"/>
        <item x="1"/>
        <item x="3"/>
        <item t="default"/>
      </items>
    </pivotField>
    <pivotField dataField="1" numFmtId="164" showAll="0"/>
    <pivotField showAll="0"/>
    <pivotField showAll="0"/>
    <pivotField showAll="0"/>
  </pivotFields>
  <rowFields count="1">
    <field x="4"/>
  </rowFields>
  <rowItems count="5">
    <i>
      <x/>
    </i>
    <i>
      <x v="1"/>
    </i>
    <i>
      <x v="2"/>
    </i>
    <i>
      <x v="3"/>
    </i>
    <i t="grand">
      <x/>
    </i>
  </rowItems>
  <colFields count="1">
    <field x="9"/>
  </colFields>
  <colItems count="5">
    <i>
      <x/>
    </i>
    <i>
      <x v="1"/>
    </i>
    <i>
      <x v="2"/>
    </i>
    <i>
      <x v="3"/>
    </i>
    <i t="grand">
      <x/>
    </i>
  </colItems>
  <dataFields count="1">
    <dataField name="Sum of Total Sales" fld="10" baseField="0" baseItem="0" numFmtId="164"/>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81E247-F214-476D-9BE9-1E8164D2CFE2}" sourceName="Region">
  <pivotTables>
    <pivotTable tabId="4" name="PivotTable1"/>
  </pivotTables>
  <data>
    <tabular pivotCacheId="942547184">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099BE0A-0044-4997-9465-AD77F2469525}" cache="Slicer_Region" caption="Region"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0"/>
  <sheetViews>
    <sheetView tabSelected="1" workbookViewId="0">
      <selection activeCell="O8" sqref="O8"/>
    </sheetView>
  </sheetViews>
  <sheetFormatPr defaultRowHeight="15" x14ac:dyDescent="0.25"/>
  <cols>
    <col min="1" max="1" width="13" bestFit="1" customWidth="1"/>
    <col min="2" max="2" width="17.85546875" style="5" bestFit="1" customWidth="1"/>
    <col min="3" max="3" width="9.7109375" bestFit="1" customWidth="1"/>
    <col min="4" max="4" width="20.140625" bestFit="1" customWidth="1"/>
    <col min="5" max="5" width="16.42578125" bestFit="1" customWidth="1"/>
    <col min="6" max="6" width="12.140625" bestFit="1" customWidth="1"/>
    <col min="7" max="7" width="8.85546875" style="3" bestFit="1" customWidth="1"/>
    <col min="8" max="8" width="11.28515625" bestFit="1" customWidth="1"/>
    <col min="9" max="9" width="14.140625" bestFit="1" customWidth="1"/>
    <col min="10" max="10" width="14.140625" customWidth="1"/>
    <col min="11" max="11" width="9.7109375" style="3" bestFit="1" customWidth="1"/>
    <col min="12" max="12" width="11.42578125" bestFit="1" customWidth="1"/>
    <col min="13" max="13" width="8.85546875" style="3" bestFit="1" customWidth="1"/>
  </cols>
  <sheetData>
    <row r="1" spans="1:14" x14ac:dyDescent="0.25">
      <c r="A1" s="1" t="s">
        <v>0</v>
      </c>
      <c r="B1" s="4" t="s">
        <v>1</v>
      </c>
      <c r="C1" s="1" t="s">
        <v>2</v>
      </c>
      <c r="D1" s="1" t="s">
        <v>3</v>
      </c>
      <c r="E1" s="1" t="s">
        <v>4</v>
      </c>
      <c r="F1" s="1" t="s">
        <v>5</v>
      </c>
      <c r="G1" s="2" t="s">
        <v>6</v>
      </c>
      <c r="H1" s="1" t="s">
        <v>7</v>
      </c>
      <c r="I1" s="1" t="s">
        <v>8</v>
      </c>
      <c r="J1" s="1" t="s">
        <v>92</v>
      </c>
      <c r="K1" s="2" t="s">
        <v>9</v>
      </c>
      <c r="L1" s="6" t="s">
        <v>10</v>
      </c>
      <c r="M1" s="2" t="s">
        <v>6</v>
      </c>
      <c r="N1" t="s">
        <v>106</v>
      </c>
    </row>
    <row r="2" spans="1:14" x14ac:dyDescent="0.25">
      <c r="A2">
        <v>1001</v>
      </c>
      <c r="B2" s="5">
        <v>44204.053101851852</v>
      </c>
      <c r="C2">
        <v>14723</v>
      </c>
      <c r="D2" t="s">
        <v>11</v>
      </c>
      <c r="E2" t="s">
        <v>12</v>
      </c>
      <c r="F2">
        <v>12</v>
      </c>
      <c r="G2" s="3">
        <v>320.2772799418521</v>
      </c>
      <c r="H2">
        <v>125542</v>
      </c>
      <c r="I2" t="s">
        <v>13</v>
      </c>
      <c r="J2" t="str">
        <f>VLOOKUP(I2, 'State-Regions'!A:B, 2, FALSE)</f>
        <v>Midwest</v>
      </c>
      <c r="K2" s="3">
        <f>G2*F2</f>
        <v>3843.327359302225</v>
      </c>
      <c r="L2" t="s">
        <v>105</v>
      </c>
      <c r="M2" s="3">
        <v>320.2772799418521</v>
      </c>
      <c r="N2">
        <f>COUNTBLANK(A1:L306)</f>
        <v>0</v>
      </c>
    </row>
    <row r="3" spans="1:14" x14ac:dyDescent="0.25">
      <c r="A3">
        <v>1002</v>
      </c>
      <c r="B3" s="5">
        <v>44327.721388888887</v>
      </c>
      <c r="C3">
        <v>13542</v>
      </c>
      <c r="D3" t="s">
        <v>104</v>
      </c>
      <c r="E3" t="s">
        <v>14</v>
      </c>
      <c r="F3">
        <v>9</v>
      </c>
      <c r="G3" s="3">
        <v>58.777694933044231</v>
      </c>
      <c r="H3">
        <v>106222</v>
      </c>
      <c r="I3" t="s">
        <v>15</v>
      </c>
      <c r="J3" t="str">
        <f>VLOOKUP(I3, 'State-Regions'!A:B, 2, FALSE)</f>
        <v>Midwest</v>
      </c>
      <c r="K3" s="3">
        <f>G3*F3</f>
        <v>528.99925439739809</v>
      </c>
      <c r="L3" t="s">
        <v>105</v>
      </c>
      <c r="M3" s="3">
        <v>58.777694933044231</v>
      </c>
    </row>
    <row r="4" spans="1:14" x14ac:dyDescent="0.25">
      <c r="A4">
        <v>1003</v>
      </c>
      <c r="B4" s="5">
        <v>44541.659618055557</v>
      </c>
      <c r="C4">
        <v>14097</v>
      </c>
      <c r="D4" t="s">
        <v>16</v>
      </c>
      <c r="E4" t="s">
        <v>12</v>
      </c>
      <c r="F4">
        <v>18</v>
      </c>
      <c r="G4" s="3">
        <v>48.655520534921472</v>
      </c>
      <c r="H4">
        <v>124344</v>
      </c>
      <c r="I4" t="s">
        <v>17</v>
      </c>
      <c r="J4" t="str">
        <f>VLOOKUP(I4, 'State-Regions'!A:B, 2, FALSE)</f>
        <v>South</v>
      </c>
      <c r="K4" s="3">
        <f t="shared" ref="K4:K67" si="0">G4*F4</f>
        <v>875.79936962858653</v>
      </c>
      <c r="L4" t="s">
        <v>105</v>
      </c>
      <c r="M4" s="3">
        <v>48.655520534921472</v>
      </c>
    </row>
    <row r="5" spans="1:14" x14ac:dyDescent="0.25">
      <c r="A5">
        <v>1004</v>
      </c>
      <c r="B5" s="5">
        <v>44270.689953703702</v>
      </c>
      <c r="C5">
        <v>15350</v>
      </c>
      <c r="D5" t="s">
        <v>18</v>
      </c>
      <c r="E5" t="s">
        <v>14</v>
      </c>
      <c r="F5">
        <v>6</v>
      </c>
      <c r="G5" s="3">
        <v>147.62745928599699</v>
      </c>
      <c r="H5">
        <v>101349</v>
      </c>
      <c r="I5" t="s">
        <v>19</v>
      </c>
      <c r="J5" t="str">
        <f>VLOOKUP(I5, 'State-Regions'!A:B, 2, FALSE)</f>
        <v>South</v>
      </c>
      <c r="K5" s="3">
        <f t="shared" si="0"/>
        <v>885.76475571598189</v>
      </c>
      <c r="L5" t="s">
        <v>105</v>
      </c>
      <c r="M5" s="3">
        <v>147.62745928599699</v>
      </c>
    </row>
    <row r="6" spans="1:14" x14ac:dyDescent="0.25">
      <c r="A6">
        <v>1005</v>
      </c>
      <c r="B6" s="5">
        <v>44208.019050925926</v>
      </c>
      <c r="C6">
        <v>10847</v>
      </c>
      <c r="D6" t="s">
        <v>20</v>
      </c>
      <c r="E6" t="s">
        <v>12</v>
      </c>
      <c r="F6">
        <v>5</v>
      </c>
      <c r="G6" s="3">
        <v>46.070653425886633</v>
      </c>
      <c r="H6">
        <v>192968</v>
      </c>
      <c r="I6" t="s">
        <v>21</v>
      </c>
      <c r="J6" t="str">
        <f>VLOOKUP(I6, 'State-Regions'!A:B, 2, FALSE)</f>
        <v>Northeast</v>
      </c>
      <c r="K6" s="3">
        <f t="shared" si="0"/>
        <v>230.35326712943316</v>
      </c>
      <c r="L6" t="s">
        <v>105</v>
      </c>
      <c r="M6" s="3">
        <v>46.070653425886633</v>
      </c>
    </row>
    <row r="7" spans="1:14" x14ac:dyDescent="0.25">
      <c r="A7">
        <v>1006</v>
      </c>
      <c r="B7" s="5">
        <v>44226.23201388889</v>
      </c>
      <c r="C7">
        <v>19023</v>
      </c>
      <c r="D7" t="s">
        <v>22</v>
      </c>
      <c r="E7" t="s">
        <v>12</v>
      </c>
      <c r="F7">
        <v>7</v>
      </c>
      <c r="G7" s="3">
        <v>435.66014334391213</v>
      </c>
      <c r="H7">
        <v>113896</v>
      </c>
      <c r="I7" t="s">
        <v>23</v>
      </c>
      <c r="J7" t="str">
        <f>VLOOKUP(I7, 'State-Regions'!A:B, 2, FALSE)</f>
        <v>South</v>
      </c>
      <c r="K7" s="3">
        <f t="shared" si="0"/>
        <v>3049.6210034073847</v>
      </c>
      <c r="L7" t="s">
        <v>105</v>
      </c>
      <c r="M7" s="3">
        <v>435.66014334391213</v>
      </c>
    </row>
    <row r="8" spans="1:14" x14ac:dyDescent="0.25">
      <c r="A8">
        <v>1007</v>
      </c>
      <c r="B8" s="5">
        <v>44361.362800925926</v>
      </c>
      <c r="C8">
        <v>16025</v>
      </c>
      <c r="D8" t="s">
        <v>24</v>
      </c>
      <c r="E8" t="s">
        <v>25</v>
      </c>
      <c r="F8">
        <v>5</v>
      </c>
      <c r="G8" s="3">
        <v>296.26549231574649</v>
      </c>
      <c r="H8">
        <v>109358</v>
      </c>
      <c r="I8" t="s">
        <v>26</v>
      </c>
      <c r="J8" t="str">
        <f>VLOOKUP(I8, 'State-Regions'!A:B, 2, FALSE)</f>
        <v>West</v>
      </c>
      <c r="K8" s="3">
        <f t="shared" si="0"/>
        <v>1481.3274615787325</v>
      </c>
      <c r="L8" t="s">
        <v>105</v>
      </c>
      <c r="M8" s="3">
        <v>296.26549231574649</v>
      </c>
    </row>
    <row r="9" spans="1:14" x14ac:dyDescent="0.25">
      <c r="A9">
        <v>1008</v>
      </c>
      <c r="B9" s="5">
        <v>44460.148240740738</v>
      </c>
      <c r="C9">
        <v>12630</v>
      </c>
      <c r="D9" t="s">
        <v>27</v>
      </c>
      <c r="E9" t="s">
        <v>12</v>
      </c>
      <c r="F9">
        <v>4</v>
      </c>
      <c r="G9" s="3">
        <v>224.39791917880649</v>
      </c>
      <c r="H9">
        <v>165288</v>
      </c>
      <c r="I9" t="s">
        <v>28</v>
      </c>
      <c r="J9" t="str">
        <f>VLOOKUP(I9, 'State-Regions'!A:B, 2, FALSE)</f>
        <v>South</v>
      </c>
      <c r="K9" s="3">
        <f t="shared" si="0"/>
        <v>897.59167671522596</v>
      </c>
      <c r="L9" t="s">
        <v>105</v>
      </c>
      <c r="M9" s="3">
        <v>224.39791917880649</v>
      </c>
    </row>
    <row r="10" spans="1:14" x14ac:dyDescent="0.25">
      <c r="A10">
        <v>1009</v>
      </c>
      <c r="B10" s="5">
        <v>44343.367662037039</v>
      </c>
      <c r="C10">
        <v>18791</v>
      </c>
      <c r="D10" t="s">
        <v>18</v>
      </c>
      <c r="E10" t="s">
        <v>12</v>
      </c>
      <c r="F10">
        <v>1</v>
      </c>
      <c r="G10" s="3">
        <v>227.93767420076679</v>
      </c>
      <c r="H10">
        <v>127368</v>
      </c>
      <c r="I10" t="s">
        <v>29</v>
      </c>
      <c r="J10" t="str">
        <f>VLOOKUP(I10, 'State-Regions'!A:B, 2, FALSE)</f>
        <v>South</v>
      </c>
      <c r="K10" s="3">
        <f t="shared" si="0"/>
        <v>227.93767420076679</v>
      </c>
      <c r="L10" t="s">
        <v>105</v>
      </c>
      <c r="M10" s="3">
        <v>227.93767420076679</v>
      </c>
    </row>
    <row r="11" spans="1:14" x14ac:dyDescent="0.25">
      <c r="A11">
        <v>1010</v>
      </c>
      <c r="B11" s="5">
        <v>44506.334768518522</v>
      </c>
      <c r="C11">
        <v>12804</v>
      </c>
      <c r="D11" t="s">
        <v>30</v>
      </c>
      <c r="E11" t="s">
        <v>31</v>
      </c>
      <c r="F11">
        <v>6</v>
      </c>
      <c r="G11" s="3">
        <v>398.6869135884142</v>
      </c>
      <c r="H11">
        <v>171280</v>
      </c>
      <c r="I11" t="s">
        <v>32</v>
      </c>
      <c r="J11" t="str">
        <f>VLOOKUP(I11, 'State-Regions'!A:B, 2, FALSE)</f>
        <v>Midwest</v>
      </c>
      <c r="K11" s="3">
        <f t="shared" si="0"/>
        <v>2392.1214815304852</v>
      </c>
      <c r="L11" t="s">
        <v>105</v>
      </c>
      <c r="M11" s="3">
        <v>398.6869135884142</v>
      </c>
    </row>
    <row r="12" spans="1:14" x14ac:dyDescent="0.25">
      <c r="A12">
        <v>1011</v>
      </c>
      <c r="B12" s="5">
        <v>44290.758553240739</v>
      </c>
      <c r="C12">
        <v>14203</v>
      </c>
      <c r="D12" t="s">
        <v>27</v>
      </c>
      <c r="E12" t="s">
        <v>31</v>
      </c>
      <c r="F12">
        <v>13</v>
      </c>
      <c r="G12" s="3">
        <v>344.71228565663631</v>
      </c>
      <c r="H12">
        <v>155331</v>
      </c>
      <c r="I12" t="s">
        <v>33</v>
      </c>
      <c r="J12" t="str">
        <f>VLOOKUP(I12, 'State-Regions'!A:B, 2, FALSE)</f>
        <v>Midwest</v>
      </c>
      <c r="K12" s="3">
        <f t="shared" si="0"/>
        <v>4481.2597135362721</v>
      </c>
      <c r="L12" t="s">
        <v>105</v>
      </c>
      <c r="M12" s="3">
        <v>344.71228565663631</v>
      </c>
    </row>
    <row r="13" spans="1:14" x14ac:dyDescent="0.25">
      <c r="A13">
        <v>1012</v>
      </c>
      <c r="B13" s="5">
        <v>44316.152627314812</v>
      </c>
      <c r="C13">
        <v>19620</v>
      </c>
      <c r="D13" t="s">
        <v>34</v>
      </c>
      <c r="E13" t="s">
        <v>31</v>
      </c>
      <c r="F13">
        <v>11</v>
      </c>
      <c r="G13" s="3">
        <v>199.6927094536737</v>
      </c>
      <c r="H13">
        <v>178997</v>
      </c>
      <c r="I13" t="s">
        <v>35</v>
      </c>
      <c r="J13" t="str">
        <f>VLOOKUP(I13, 'State-Regions'!A:B, 2, FALSE)</f>
        <v>West</v>
      </c>
      <c r="K13" s="3">
        <f t="shared" si="0"/>
        <v>2196.6198039904107</v>
      </c>
      <c r="L13" t="s">
        <v>105</v>
      </c>
      <c r="M13" s="3">
        <v>199.6927094536737</v>
      </c>
    </row>
    <row r="14" spans="1:14" x14ac:dyDescent="0.25">
      <c r="A14">
        <v>1013</v>
      </c>
      <c r="B14" s="5">
        <v>44420.751631944448</v>
      </c>
      <c r="C14">
        <v>12024</v>
      </c>
      <c r="D14" t="s">
        <v>36</v>
      </c>
      <c r="E14" t="s">
        <v>25</v>
      </c>
      <c r="F14">
        <v>7</v>
      </c>
      <c r="G14" s="3">
        <v>364.39778609172561</v>
      </c>
      <c r="H14">
        <v>163107</v>
      </c>
      <c r="I14" t="s">
        <v>37</v>
      </c>
      <c r="J14" t="str">
        <f>VLOOKUP(I14, 'State-Regions'!A:B, 2, FALSE)</f>
        <v>Northeast</v>
      </c>
      <c r="K14" s="3">
        <f t="shared" si="0"/>
        <v>2550.7845026420791</v>
      </c>
      <c r="L14" t="s">
        <v>105</v>
      </c>
      <c r="M14" s="3">
        <v>364.39778609172561</v>
      </c>
    </row>
    <row r="15" spans="1:14" x14ac:dyDescent="0.25">
      <c r="A15">
        <v>1014</v>
      </c>
      <c r="B15" s="5">
        <v>44228.918425925927</v>
      </c>
      <c r="C15">
        <v>17629</v>
      </c>
      <c r="D15" t="s">
        <v>38</v>
      </c>
      <c r="E15" t="s">
        <v>25</v>
      </c>
      <c r="F15">
        <v>1</v>
      </c>
      <c r="G15" s="3">
        <v>489.01294320652789</v>
      </c>
      <c r="H15">
        <v>153926</v>
      </c>
      <c r="I15" t="s">
        <v>19</v>
      </c>
      <c r="J15" t="str">
        <f>VLOOKUP(I15, 'State-Regions'!A:B, 2, FALSE)</f>
        <v>South</v>
      </c>
      <c r="K15" s="3">
        <f t="shared" si="0"/>
        <v>489.01294320652789</v>
      </c>
      <c r="L15" t="s">
        <v>105</v>
      </c>
      <c r="M15" s="3">
        <v>489.01294320652789</v>
      </c>
    </row>
    <row r="16" spans="1:14" x14ac:dyDescent="0.25">
      <c r="A16">
        <v>1015</v>
      </c>
      <c r="B16" s="5">
        <v>44560.712094907409</v>
      </c>
      <c r="C16">
        <v>10947</v>
      </c>
      <c r="D16" t="s">
        <v>27</v>
      </c>
      <c r="E16" t="s">
        <v>14</v>
      </c>
      <c r="F16">
        <v>13</v>
      </c>
      <c r="G16" s="3">
        <v>18.865143800474101</v>
      </c>
      <c r="H16">
        <v>163702</v>
      </c>
      <c r="I16" t="s">
        <v>39</v>
      </c>
      <c r="J16" t="str">
        <f>VLOOKUP(I16, 'State-Regions'!A:B, 2, FALSE)</f>
        <v>Midwest</v>
      </c>
      <c r="K16" s="3">
        <f t="shared" si="0"/>
        <v>245.24686940616331</v>
      </c>
      <c r="L16" t="s">
        <v>105</v>
      </c>
      <c r="M16" s="3">
        <v>18.865143800474101</v>
      </c>
    </row>
    <row r="17" spans="1:13" x14ac:dyDescent="0.25">
      <c r="A17">
        <v>1016</v>
      </c>
      <c r="B17" s="5">
        <v>44231.023692129631</v>
      </c>
      <c r="C17">
        <v>11402</v>
      </c>
      <c r="D17" t="s">
        <v>40</v>
      </c>
      <c r="E17" t="s">
        <v>25</v>
      </c>
      <c r="F17">
        <v>11</v>
      </c>
      <c r="G17" s="3">
        <v>463.71233043585681</v>
      </c>
      <c r="H17">
        <v>159589</v>
      </c>
      <c r="I17" t="s">
        <v>41</v>
      </c>
      <c r="J17" t="str">
        <f>VLOOKUP(I17, 'State-Regions'!A:B, 2, FALSE)</f>
        <v>Midwest</v>
      </c>
      <c r="K17" s="3">
        <f t="shared" si="0"/>
        <v>5100.8356347944245</v>
      </c>
      <c r="L17" t="s">
        <v>105</v>
      </c>
      <c r="M17" s="3">
        <v>463.71233043585681</v>
      </c>
    </row>
    <row r="18" spans="1:13" x14ac:dyDescent="0.25">
      <c r="A18">
        <v>1017</v>
      </c>
      <c r="B18" s="5">
        <v>44490.765451388892</v>
      </c>
      <c r="C18">
        <v>15043</v>
      </c>
      <c r="D18" t="s">
        <v>20</v>
      </c>
      <c r="E18" t="s">
        <v>25</v>
      </c>
      <c r="F18">
        <v>3</v>
      </c>
      <c r="G18" s="3">
        <v>117.88265426160559</v>
      </c>
      <c r="H18">
        <v>163613</v>
      </c>
      <c r="I18" t="s">
        <v>26</v>
      </c>
      <c r="J18" t="str">
        <f>VLOOKUP(I18, 'State-Regions'!A:B, 2, FALSE)</f>
        <v>West</v>
      </c>
      <c r="K18" s="3">
        <f t="shared" si="0"/>
        <v>353.6479627848168</v>
      </c>
      <c r="L18" t="s">
        <v>105</v>
      </c>
      <c r="M18" s="3">
        <v>117.88265426160559</v>
      </c>
    </row>
    <row r="19" spans="1:13" x14ac:dyDescent="0.25">
      <c r="A19">
        <v>1018</v>
      </c>
      <c r="B19" s="5">
        <v>44395.870081018518</v>
      </c>
      <c r="C19">
        <v>19179</v>
      </c>
      <c r="D19" t="s">
        <v>11</v>
      </c>
      <c r="E19" t="s">
        <v>12</v>
      </c>
      <c r="F19">
        <v>19</v>
      </c>
      <c r="G19" s="3">
        <v>426.64420015637978</v>
      </c>
      <c r="H19">
        <v>130208</v>
      </c>
      <c r="I19" t="s">
        <v>42</v>
      </c>
      <c r="J19" t="str">
        <f>VLOOKUP(I19, 'State-Regions'!A:B, 2, FALSE)</f>
        <v>West</v>
      </c>
      <c r="K19" s="3">
        <f t="shared" si="0"/>
        <v>8106.2398029712158</v>
      </c>
      <c r="L19" t="s">
        <v>105</v>
      </c>
      <c r="M19" s="3">
        <v>426.64420015637978</v>
      </c>
    </row>
    <row r="20" spans="1:13" x14ac:dyDescent="0.25">
      <c r="A20">
        <v>1019</v>
      </c>
      <c r="B20" s="5">
        <v>44257.330092592587</v>
      </c>
      <c r="C20">
        <v>15478</v>
      </c>
      <c r="D20" t="s">
        <v>43</v>
      </c>
      <c r="E20" t="s">
        <v>14</v>
      </c>
      <c r="F20">
        <v>15</v>
      </c>
      <c r="G20" s="3">
        <v>443.06434154240151</v>
      </c>
      <c r="H20">
        <v>166608</v>
      </c>
      <c r="I20" t="s">
        <v>32</v>
      </c>
      <c r="J20" t="str">
        <f>VLOOKUP(I20, 'State-Regions'!A:B, 2, FALSE)</f>
        <v>Midwest</v>
      </c>
      <c r="K20" s="3">
        <f t="shared" si="0"/>
        <v>6645.9651231360222</v>
      </c>
      <c r="L20" t="s">
        <v>105</v>
      </c>
      <c r="M20" s="3">
        <v>443.06434154240151</v>
      </c>
    </row>
    <row r="21" spans="1:13" x14ac:dyDescent="0.25">
      <c r="A21">
        <v>1020</v>
      </c>
      <c r="B21" s="5">
        <v>44281.43408564815</v>
      </c>
      <c r="C21">
        <v>16104</v>
      </c>
      <c r="D21" t="s">
        <v>44</v>
      </c>
      <c r="E21" t="s">
        <v>25</v>
      </c>
      <c r="F21">
        <v>1</v>
      </c>
      <c r="G21" s="3">
        <v>433.85473148325451</v>
      </c>
      <c r="H21">
        <v>174901</v>
      </c>
      <c r="I21" t="s">
        <v>45</v>
      </c>
      <c r="J21" t="str">
        <f>VLOOKUP(I21, 'State-Regions'!A:B, 2, FALSE)</f>
        <v>South</v>
      </c>
      <c r="K21" s="3">
        <f t="shared" si="0"/>
        <v>433.85473148325451</v>
      </c>
      <c r="L21" t="s">
        <v>105</v>
      </c>
      <c r="M21" s="3">
        <v>433.85473148325451</v>
      </c>
    </row>
    <row r="22" spans="1:13" x14ac:dyDescent="0.25">
      <c r="A22">
        <v>1021</v>
      </c>
      <c r="B22" s="5">
        <v>44546.92523148148</v>
      </c>
      <c r="C22">
        <v>12546</v>
      </c>
      <c r="D22" t="s">
        <v>20</v>
      </c>
      <c r="E22" t="s">
        <v>12</v>
      </c>
      <c r="F22">
        <v>13</v>
      </c>
      <c r="G22" s="3">
        <v>406.19936181355382</v>
      </c>
      <c r="H22">
        <v>193743</v>
      </c>
      <c r="I22" t="s">
        <v>45</v>
      </c>
      <c r="J22" t="str">
        <f>VLOOKUP(I22, 'State-Regions'!A:B, 2, FALSE)</f>
        <v>South</v>
      </c>
      <c r="K22" s="3">
        <f t="shared" si="0"/>
        <v>5280.5917035761995</v>
      </c>
      <c r="L22" t="s">
        <v>105</v>
      </c>
      <c r="M22" s="3">
        <v>406.19936181355382</v>
      </c>
    </row>
    <row r="23" spans="1:13" x14ac:dyDescent="0.25">
      <c r="A23">
        <v>1022</v>
      </c>
      <c r="B23" s="5">
        <v>44548.304189814808</v>
      </c>
      <c r="C23">
        <v>16390</v>
      </c>
      <c r="D23" t="s">
        <v>38</v>
      </c>
      <c r="E23" t="s">
        <v>12</v>
      </c>
      <c r="F23">
        <v>4</v>
      </c>
      <c r="G23" s="3">
        <f>AVERAGE(M:M)</f>
        <v>262.93599539610597</v>
      </c>
      <c r="H23">
        <v>132352</v>
      </c>
      <c r="I23" t="s">
        <v>46</v>
      </c>
      <c r="J23" t="str">
        <f>VLOOKUP(I23, 'State-Regions'!A:B, 2, FALSE)</f>
        <v>South</v>
      </c>
      <c r="K23" s="3">
        <f t="shared" si="0"/>
        <v>1051.7439815844239</v>
      </c>
      <c r="L23" t="s">
        <v>105</v>
      </c>
    </row>
    <row r="24" spans="1:13" x14ac:dyDescent="0.25">
      <c r="A24">
        <v>1023</v>
      </c>
      <c r="B24" s="5">
        <v>44327.529074074067</v>
      </c>
      <c r="C24">
        <v>19579</v>
      </c>
      <c r="D24" t="s">
        <v>47</v>
      </c>
      <c r="E24" t="s">
        <v>31</v>
      </c>
      <c r="F24">
        <v>17</v>
      </c>
      <c r="G24" s="3">
        <v>39.729111511986531</v>
      </c>
      <c r="H24">
        <v>195024</v>
      </c>
      <c r="I24" t="s">
        <v>48</v>
      </c>
      <c r="J24" t="str">
        <f>VLOOKUP(I24, 'State-Regions'!A:B, 2, FALSE)</f>
        <v>West</v>
      </c>
      <c r="K24" s="3">
        <f t="shared" si="0"/>
        <v>675.394895703771</v>
      </c>
      <c r="L24" t="s">
        <v>105</v>
      </c>
      <c r="M24" s="3">
        <v>39.729111511986531</v>
      </c>
    </row>
    <row r="25" spans="1:13" x14ac:dyDescent="0.25">
      <c r="A25">
        <v>1024</v>
      </c>
      <c r="B25" s="5">
        <v>44270.632777777777</v>
      </c>
      <c r="C25">
        <v>13310</v>
      </c>
      <c r="D25" t="s">
        <v>36</v>
      </c>
      <c r="E25" t="s">
        <v>31</v>
      </c>
      <c r="F25">
        <v>1</v>
      </c>
      <c r="G25" s="3">
        <v>125.9924507766813</v>
      </c>
      <c r="H25">
        <v>165464</v>
      </c>
      <c r="I25" t="s">
        <v>49</v>
      </c>
      <c r="J25" t="str">
        <f>VLOOKUP(I25, 'State-Regions'!A:B, 2, FALSE)</f>
        <v>South</v>
      </c>
      <c r="K25" s="3">
        <f t="shared" si="0"/>
        <v>125.9924507766813</v>
      </c>
      <c r="L25" t="s">
        <v>105</v>
      </c>
      <c r="M25" s="3">
        <v>125.9924507766813</v>
      </c>
    </row>
    <row r="26" spans="1:13" x14ac:dyDescent="0.25">
      <c r="A26">
        <v>1025</v>
      </c>
      <c r="B26" s="5">
        <v>44335.882754629631</v>
      </c>
      <c r="C26">
        <v>18981</v>
      </c>
      <c r="D26" t="s">
        <v>44</v>
      </c>
      <c r="E26" t="s">
        <v>14</v>
      </c>
      <c r="F26">
        <v>11</v>
      </c>
      <c r="G26" s="3">
        <v>312.97293334190641</v>
      </c>
      <c r="H26">
        <v>156199</v>
      </c>
      <c r="I26" t="s">
        <v>50</v>
      </c>
      <c r="J26" t="str">
        <f>VLOOKUP(I26, 'State-Regions'!A:B, 2, FALSE)</f>
        <v>Northeast</v>
      </c>
      <c r="K26" s="3">
        <f t="shared" si="0"/>
        <v>3442.7022667609704</v>
      </c>
      <c r="L26" t="s">
        <v>105</v>
      </c>
      <c r="M26" s="3">
        <v>312.97293334190641</v>
      </c>
    </row>
    <row r="27" spans="1:13" x14ac:dyDescent="0.25">
      <c r="A27">
        <v>1026</v>
      </c>
      <c r="B27" s="5">
        <v>44319.025567129633</v>
      </c>
      <c r="C27">
        <v>12167</v>
      </c>
      <c r="D27" t="s">
        <v>40</v>
      </c>
      <c r="E27" t="s">
        <v>14</v>
      </c>
      <c r="F27">
        <v>2</v>
      </c>
      <c r="G27" s="3">
        <v>380.0651296958618</v>
      </c>
      <c r="H27">
        <v>148535</v>
      </c>
      <c r="I27" t="s">
        <v>28</v>
      </c>
      <c r="J27" t="str">
        <f>VLOOKUP(I27, 'State-Regions'!A:B, 2, FALSE)</f>
        <v>South</v>
      </c>
      <c r="K27" s="3">
        <f t="shared" si="0"/>
        <v>760.1302593917236</v>
      </c>
      <c r="L27" t="s">
        <v>105</v>
      </c>
      <c r="M27" s="3">
        <v>380.0651296958618</v>
      </c>
    </row>
    <row r="28" spans="1:13" x14ac:dyDescent="0.25">
      <c r="A28">
        <v>1027</v>
      </c>
      <c r="B28" s="5">
        <v>44519.384675925918</v>
      </c>
      <c r="C28">
        <v>16649</v>
      </c>
      <c r="D28" t="s">
        <v>51</v>
      </c>
      <c r="E28" t="s">
        <v>31</v>
      </c>
      <c r="F28">
        <v>8</v>
      </c>
      <c r="G28" s="3">
        <v>225.3812483970768</v>
      </c>
      <c r="H28">
        <v>147646</v>
      </c>
      <c r="I28" t="s">
        <v>41</v>
      </c>
      <c r="J28" t="str">
        <f>VLOOKUP(I28, 'State-Regions'!A:B, 2, FALSE)</f>
        <v>Midwest</v>
      </c>
      <c r="K28" s="3">
        <f t="shared" si="0"/>
        <v>1803.0499871766144</v>
      </c>
      <c r="L28" t="s">
        <v>105</v>
      </c>
      <c r="M28" s="3">
        <v>225.3812483970768</v>
      </c>
    </row>
    <row r="29" spans="1:13" x14ac:dyDescent="0.25">
      <c r="A29">
        <v>1028</v>
      </c>
      <c r="B29" s="5">
        <v>44502.322511574072</v>
      </c>
      <c r="C29">
        <v>10652</v>
      </c>
      <c r="D29" t="s">
        <v>52</v>
      </c>
      <c r="E29" t="s">
        <v>12</v>
      </c>
      <c r="F29">
        <v>16</v>
      </c>
      <c r="G29" s="3">
        <v>482.65009726530423</v>
      </c>
      <c r="H29">
        <v>138257</v>
      </c>
      <c r="I29" t="s">
        <v>46</v>
      </c>
      <c r="J29" t="str">
        <f>VLOOKUP(I29, 'State-Regions'!A:B, 2, FALSE)</f>
        <v>South</v>
      </c>
      <c r="K29" s="3">
        <f t="shared" si="0"/>
        <v>7722.4015562448676</v>
      </c>
      <c r="L29" t="s">
        <v>105</v>
      </c>
      <c r="M29" s="3">
        <v>482.65009726530423</v>
      </c>
    </row>
    <row r="30" spans="1:13" x14ac:dyDescent="0.25">
      <c r="A30">
        <v>1029</v>
      </c>
      <c r="B30" s="5">
        <v>44287.754074074073</v>
      </c>
      <c r="C30">
        <v>11739</v>
      </c>
      <c r="D30" t="s">
        <v>104</v>
      </c>
      <c r="E30" t="s">
        <v>12</v>
      </c>
      <c r="F30">
        <v>18</v>
      </c>
      <c r="G30" s="3">
        <v>486.1820647358673</v>
      </c>
      <c r="H30">
        <v>178221</v>
      </c>
      <c r="I30" t="s">
        <v>53</v>
      </c>
      <c r="J30" t="str">
        <f>VLOOKUP(I30, 'State-Regions'!A:B, 2, FALSE)</f>
        <v>West</v>
      </c>
      <c r="K30" s="3">
        <f t="shared" si="0"/>
        <v>8751.2771652456122</v>
      </c>
      <c r="L30" t="s">
        <v>105</v>
      </c>
      <c r="M30" s="3">
        <v>486.1820647358673</v>
      </c>
    </row>
    <row r="31" spans="1:13" x14ac:dyDescent="0.25">
      <c r="A31">
        <v>1030</v>
      </c>
      <c r="B31" s="5">
        <v>44556.019259259258</v>
      </c>
      <c r="C31">
        <v>13369</v>
      </c>
      <c r="D31" t="s">
        <v>104</v>
      </c>
      <c r="E31" t="s">
        <v>25</v>
      </c>
      <c r="F31">
        <v>10</v>
      </c>
      <c r="G31" s="3">
        <v>465.80612290744489</v>
      </c>
      <c r="H31">
        <v>136530</v>
      </c>
      <c r="I31" t="s">
        <v>54</v>
      </c>
      <c r="J31" t="str">
        <f>VLOOKUP(I31, 'State-Regions'!A:B, 2, FALSE)</f>
        <v>Midwest</v>
      </c>
      <c r="K31" s="3">
        <f t="shared" si="0"/>
        <v>4658.0612290744484</v>
      </c>
      <c r="L31" t="s">
        <v>105</v>
      </c>
      <c r="M31" s="3">
        <v>465.80612290744489</v>
      </c>
    </row>
    <row r="32" spans="1:13" x14ac:dyDescent="0.25">
      <c r="A32">
        <v>1031</v>
      </c>
      <c r="B32" s="5">
        <v>44287.367465277777</v>
      </c>
      <c r="C32">
        <v>19165</v>
      </c>
      <c r="D32" t="s">
        <v>36</v>
      </c>
      <c r="E32" t="s">
        <v>14</v>
      </c>
      <c r="F32">
        <v>9</v>
      </c>
      <c r="G32" s="3">
        <v>262.62609662782108</v>
      </c>
      <c r="H32">
        <v>114065</v>
      </c>
      <c r="I32" t="s">
        <v>55</v>
      </c>
      <c r="J32" t="str">
        <f>VLOOKUP(I32, 'State-Regions'!A:B, 2, FALSE)</f>
        <v>Northeast</v>
      </c>
      <c r="K32" s="3">
        <f t="shared" si="0"/>
        <v>2363.6348696503896</v>
      </c>
      <c r="L32" t="s">
        <v>105</v>
      </c>
      <c r="M32" s="3">
        <v>262.62609662782108</v>
      </c>
    </row>
    <row r="33" spans="1:13" x14ac:dyDescent="0.25">
      <c r="A33">
        <v>1032</v>
      </c>
      <c r="B33" s="5">
        <v>44198.572696759264</v>
      </c>
      <c r="C33">
        <v>12599</v>
      </c>
      <c r="D33" t="s">
        <v>34</v>
      </c>
      <c r="E33" t="s">
        <v>14</v>
      </c>
      <c r="F33">
        <v>8</v>
      </c>
      <c r="G33" s="3">
        <v>49.300464982517681</v>
      </c>
      <c r="H33">
        <v>147619</v>
      </c>
      <c r="I33" t="s">
        <v>56</v>
      </c>
      <c r="J33" t="str">
        <f>VLOOKUP(I33, 'State-Regions'!A:B, 2, FALSE)</f>
        <v>West</v>
      </c>
      <c r="K33" s="3">
        <f t="shared" si="0"/>
        <v>394.40371986014145</v>
      </c>
      <c r="L33" t="s">
        <v>105</v>
      </c>
      <c r="M33" s="3">
        <v>49.300464982517681</v>
      </c>
    </row>
    <row r="34" spans="1:13" x14ac:dyDescent="0.25">
      <c r="A34">
        <v>1033</v>
      </c>
      <c r="B34" s="5">
        <v>44511.766631944447</v>
      </c>
      <c r="C34">
        <v>13157</v>
      </c>
      <c r="D34" t="s">
        <v>52</v>
      </c>
      <c r="E34" t="s">
        <v>14</v>
      </c>
      <c r="F34">
        <v>4</v>
      </c>
      <c r="G34" s="3">
        <v>270.4264814262155</v>
      </c>
      <c r="H34">
        <v>106340</v>
      </c>
      <c r="I34" t="s">
        <v>57</v>
      </c>
      <c r="J34" t="str">
        <f>VLOOKUP(I34, 'State-Regions'!A:B, 2, FALSE)</f>
        <v>South</v>
      </c>
      <c r="K34" s="3">
        <f t="shared" si="0"/>
        <v>1081.705925704862</v>
      </c>
      <c r="L34" t="s">
        <v>105</v>
      </c>
      <c r="M34" s="3">
        <v>270.4264814262155</v>
      </c>
    </row>
    <row r="35" spans="1:13" x14ac:dyDescent="0.25">
      <c r="A35">
        <v>1034</v>
      </c>
      <c r="B35" s="5">
        <v>44311.099131944437</v>
      </c>
      <c r="C35">
        <v>16713</v>
      </c>
      <c r="D35" t="s">
        <v>51</v>
      </c>
      <c r="E35" t="s">
        <v>31</v>
      </c>
      <c r="F35">
        <v>19</v>
      </c>
      <c r="G35" s="3">
        <v>227.93459693161071</v>
      </c>
      <c r="H35">
        <v>136505</v>
      </c>
      <c r="I35" t="s">
        <v>58</v>
      </c>
      <c r="J35" t="str">
        <f>VLOOKUP(I35, 'State-Regions'!A:B, 2, FALSE)</f>
        <v>Midwest</v>
      </c>
      <c r="K35" s="3">
        <f t="shared" si="0"/>
        <v>4330.7573417006033</v>
      </c>
      <c r="L35" t="s">
        <v>105</v>
      </c>
      <c r="M35" s="3">
        <v>227.93459693161071</v>
      </c>
    </row>
    <row r="36" spans="1:13" x14ac:dyDescent="0.25">
      <c r="A36">
        <v>1035</v>
      </c>
      <c r="B36" s="5">
        <v>44534.054097222222</v>
      </c>
      <c r="C36">
        <v>14772</v>
      </c>
      <c r="D36" t="s">
        <v>104</v>
      </c>
      <c r="E36" t="s">
        <v>25</v>
      </c>
      <c r="F36">
        <v>15</v>
      </c>
      <c r="G36" s="3">
        <v>215.68134117802319</v>
      </c>
      <c r="H36">
        <v>161266</v>
      </c>
      <c r="I36" t="s">
        <v>35</v>
      </c>
      <c r="J36" t="str">
        <f>VLOOKUP(I36, 'State-Regions'!A:B, 2, FALSE)</f>
        <v>West</v>
      </c>
      <c r="K36" s="3">
        <f t="shared" si="0"/>
        <v>3235.2201176703479</v>
      </c>
      <c r="L36" t="s">
        <v>105</v>
      </c>
      <c r="M36" s="3">
        <v>215.68134117802319</v>
      </c>
    </row>
    <row r="37" spans="1:13" x14ac:dyDescent="0.25">
      <c r="A37">
        <v>1036</v>
      </c>
      <c r="B37" s="5">
        <v>44397.024675925917</v>
      </c>
      <c r="C37">
        <v>15598</v>
      </c>
      <c r="D37" t="s">
        <v>59</v>
      </c>
      <c r="E37" t="s">
        <v>25</v>
      </c>
      <c r="F37">
        <v>15</v>
      </c>
      <c r="G37" s="3">
        <v>425.71540535574587</v>
      </c>
      <c r="H37">
        <v>148156</v>
      </c>
      <c r="I37" t="s">
        <v>49</v>
      </c>
      <c r="J37" t="str">
        <f>VLOOKUP(I37, 'State-Regions'!A:B, 2, FALSE)</f>
        <v>South</v>
      </c>
      <c r="K37" s="3">
        <f t="shared" si="0"/>
        <v>6385.7310803361879</v>
      </c>
      <c r="L37" t="s">
        <v>105</v>
      </c>
      <c r="M37" s="3">
        <v>425.71540535574587</v>
      </c>
    </row>
    <row r="38" spans="1:13" x14ac:dyDescent="0.25">
      <c r="A38">
        <v>1037</v>
      </c>
      <c r="B38" s="5">
        <v>44506.915081018517</v>
      </c>
      <c r="C38">
        <v>17159</v>
      </c>
      <c r="D38" t="s">
        <v>36</v>
      </c>
      <c r="E38" t="s">
        <v>14</v>
      </c>
      <c r="F38">
        <v>15</v>
      </c>
      <c r="G38" s="3">
        <v>205.41783483543031</v>
      </c>
      <c r="H38">
        <v>112112</v>
      </c>
      <c r="I38" t="s">
        <v>55</v>
      </c>
      <c r="J38" t="str">
        <f>VLOOKUP(I38, 'State-Regions'!A:B, 2, FALSE)</f>
        <v>Northeast</v>
      </c>
      <c r="K38" s="3">
        <f t="shared" si="0"/>
        <v>3081.2675225314547</v>
      </c>
      <c r="L38" t="s">
        <v>105</v>
      </c>
      <c r="M38" s="3">
        <v>205.41783483543031</v>
      </c>
    </row>
    <row r="39" spans="1:13" x14ac:dyDescent="0.25">
      <c r="A39">
        <v>1038</v>
      </c>
      <c r="B39" s="5">
        <v>44501.113159722219</v>
      </c>
      <c r="C39">
        <v>19241</v>
      </c>
      <c r="D39" t="s">
        <v>27</v>
      </c>
      <c r="E39" t="s">
        <v>12</v>
      </c>
      <c r="F39">
        <v>7</v>
      </c>
      <c r="G39" s="3">
        <v>58.325741609721263</v>
      </c>
      <c r="H39">
        <v>145105</v>
      </c>
      <c r="I39" t="s">
        <v>60</v>
      </c>
      <c r="J39" t="str">
        <f>VLOOKUP(I39, 'State-Regions'!A:B, 2, FALSE)</f>
        <v>South</v>
      </c>
      <c r="K39" s="3">
        <f t="shared" si="0"/>
        <v>408.28019126804884</v>
      </c>
      <c r="L39" t="s">
        <v>105</v>
      </c>
      <c r="M39" s="3">
        <v>58.325741609721263</v>
      </c>
    </row>
    <row r="40" spans="1:13" x14ac:dyDescent="0.25">
      <c r="A40">
        <v>1039</v>
      </c>
      <c r="B40" s="5">
        <v>44440.320115740738</v>
      </c>
      <c r="C40">
        <v>17950</v>
      </c>
      <c r="D40" t="s">
        <v>11</v>
      </c>
      <c r="E40" t="s">
        <v>12</v>
      </c>
      <c r="F40">
        <v>4</v>
      </c>
      <c r="G40" s="3">
        <v>483.82759208656688</v>
      </c>
      <c r="H40">
        <v>162385</v>
      </c>
      <c r="I40" t="s">
        <v>54</v>
      </c>
      <c r="J40" t="str">
        <f>VLOOKUP(I40, 'State-Regions'!A:B, 2, FALSE)</f>
        <v>Midwest</v>
      </c>
      <c r="K40" s="3">
        <f t="shared" si="0"/>
        <v>1935.3103683462675</v>
      </c>
      <c r="L40" t="s">
        <v>105</v>
      </c>
      <c r="M40" s="3">
        <v>483.82759208656688</v>
      </c>
    </row>
    <row r="41" spans="1:13" x14ac:dyDescent="0.25">
      <c r="A41">
        <v>1040</v>
      </c>
      <c r="B41" s="5">
        <v>44248.012164351851</v>
      </c>
      <c r="C41">
        <v>10006</v>
      </c>
      <c r="D41" t="s">
        <v>20</v>
      </c>
      <c r="E41" t="s">
        <v>25</v>
      </c>
      <c r="F41">
        <v>16</v>
      </c>
      <c r="G41" s="3">
        <v>476.32698302750629</v>
      </c>
      <c r="H41">
        <v>122926</v>
      </c>
      <c r="I41" t="s">
        <v>45</v>
      </c>
      <c r="J41" t="str">
        <f>VLOOKUP(I41, 'State-Regions'!A:B, 2, FALSE)</f>
        <v>South</v>
      </c>
      <c r="K41" s="3">
        <f t="shared" si="0"/>
        <v>7621.2317284401006</v>
      </c>
      <c r="L41" t="s">
        <v>105</v>
      </c>
      <c r="M41" s="3">
        <v>476.32698302750629</v>
      </c>
    </row>
    <row r="42" spans="1:13" x14ac:dyDescent="0.25">
      <c r="A42">
        <v>1041</v>
      </c>
      <c r="B42" s="5">
        <v>44517.424375000002</v>
      </c>
      <c r="C42">
        <v>15604</v>
      </c>
      <c r="D42" t="s">
        <v>61</v>
      </c>
      <c r="E42" t="s">
        <v>31</v>
      </c>
      <c r="F42">
        <v>5</v>
      </c>
      <c r="G42" s="3">
        <v>408.7794918445739</v>
      </c>
      <c r="H42">
        <v>127243</v>
      </c>
      <c r="I42" t="s">
        <v>62</v>
      </c>
      <c r="J42" t="str">
        <f>VLOOKUP(I42, 'State-Regions'!A:B, 2, FALSE)</f>
        <v>South</v>
      </c>
      <c r="K42" s="3">
        <f t="shared" si="0"/>
        <v>2043.8974592228694</v>
      </c>
      <c r="L42" t="s">
        <v>105</v>
      </c>
      <c r="M42" s="3">
        <v>408.7794918445739</v>
      </c>
    </row>
    <row r="43" spans="1:13" x14ac:dyDescent="0.25">
      <c r="A43">
        <v>1042</v>
      </c>
      <c r="B43" s="5">
        <v>44336.852337962962</v>
      </c>
      <c r="C43">
        <v>13966</v>
      </c>
      <c r="D43" t="s">
        <v>47</v>
      </c>
      <c r="E43" t="s">
        <v>25</v>
      </c>
      <c r="F43">
        <v>18</v>
      </c>
      <c r="G43" s="3">
        <v>471.94228093165458</v>
      </c>
      <c r="H43">
        <v>151044</v>
      </c>
      <c r="I43" t="s">
        <v>63</v>
      </c>
      <c r="J43" t="str">
        <f>VLOOKUP(I43, 'State-Regions'!A:B, 2, FALSE)</f>
        <v>Midwest</v>
      </c>
      <c r="K43" s="3">
        <f t="shared" si="0"/>
        <v>8494.9610567697819</v>
      </c>
      <c r="L43" t="s">
        <v>105</v>
      </c>
      <c r="M43" s="3">
        <v>471.94228093165458</v>
      </c>
    </row>
    <row r="44" spans="1:13" x14ac:dyDescent="0.25">
      <c r="A44">
        <v>1043</v>
      </c>
      <c r="B44" s="5">
        <v>44219.110138888893</v>
      </c>
      <c r="C44">
        <v>11320</v>
      </c>
      <c r="D44" t="s">
        <v>22</v>
      </c>
      <c r="E44" t="s">
        <v>12</v>
      </c>
      <c r="F44">
        <v>18</v>
      </c>
      <c r="G44" s="3">
        <v>114.3091228865911</v>
      </c>
      <c r="H44">
        <v>173418</v>
      </c>
      <c r="I44" t="s">
        <v>64</v>
      </c>
      <c r="J44" t="str">
        <f>VLOOKUP(I44, 'State-Regions'!A:B, 2, FALSE)</f>
        <v>West</v>
      </c>
      <c r="K44" s="3">
        <f t="shared" si="0"/>
        <v>2057.5642119586396</v>
      </c>
      <c r="L44" t="s">
        <v>105</v>
      </c>
      <c r="M44" s="3">
        <v>114.3091228865911</v>
      </c>
    </row>
    <row r="45" spans="1:13" x14ac:dyDescent="0.25">
      <c r="A45">
        <v>1044</v>
      </c>
      <c r="B45" s="5">
        <v>44380.552557870367</v>
      </c>
      <c r="C45">
        <v>10729</v>
      </c>
      <c r="D45" t="s">
        <v>22</v>
      </c>
      <c r="E45" t="s">
        <v>25</v>
      </c>
      <c r="F45">
        <v>18</v>
      </c>
      <c r="G45" s="3">
        <v>229.66717731141449</v>
      </c>
      <c r="H45">
        <v>193031</v>
      </c>
      <c r="I45" t="s">
        <v>56</v>
      </c>
      <c r="J45" t="str">
        <f>VLOOKUP(I45, 'State-Regions'!A:B, 2, FALSE)</f>
        <v>West</v>
      </c>
      <c r="K45" s="3">
        <f t="shared" si="0"/>
        <v>4134.0091916054607</v>
      </c>
      <c r="L45" t="s">
        <v>105</v>
      </c>
      <c r="M45" s="3">
        <v>229.66717731141449</v>
      </c>
    </row>
    <row r="46" spans="1:13" x14ac:dyDescent="0.25">
      <c r="A46">
        <v>1045</v>
      </c>
      <c r="B46" s="5">
        <v>44437.453298611108</v>
      </c>
      <c r="C46">
        <v>17712</v>
      </c>
      <c r="D46" t="s">
        <v>52</v>
      </c>
      <c r="E46" t="s">
        <v>12</v>
      </c>
      <c r="F46">
        <v>7</v>
      </c>
      <c r="G46" s="3">
        <v>17.247630344889821</v>
      </c>
      <c r="H46">
        <v>140289</v>
      </c>
      <c r="I46" t="s">
        <v>32</v>
      </c>
      <c r="J46" t="str">
        <f>VLOOKUP(I46, 'State-Regions'!A:B, 2, FALSE)</f>
        <v>Midwest</v>
      </c>
      <c r="K46" s="3">
        <f t="shared" si="0"/>
        <v>120.73341241422875</v>
      </c>
      <c r="L46" t="s">
        <v>105</v>
      </c>
      <c r="M46" s="3">
        <v>17.247630344889821</v>
      </c>
    </row>
    <row r="47" spans="1:13" x14ac:dyDescent="0.25">
      <c r="A47">
        <v>1046</v>
      </c>
      <c r="B47" s="5">
        <v>44314.955995370372</v>
      </c>
      <c r="C47">
        <v>13032</v>
      </c>
      <c r="D47" t="s">
        <v>20</v>
      </c>
      <c r="E47" t="s">
        <v>12</v>
      </c>
      <c r="F47">
        <v>17</v>
      </c>
      <c r="G47" s="3">
        <v>329.98244950334202</v>
      </c>
      <c r="H47">
        <v>136278</v>
      </c>
      <c r="I47" t="s">
        <v>32</v>
      </c>
      <c r="J47" t="str">
        <f>VLOOKUP(I47, 'State-Regions'!A:B, 2, FALSE)</f>
        <v>Midwest</v>
      </c>
      <c r="K47" s="3">
        <f t="shared" si="0"/>
        <v>5609.7016415568141</v>
      </c>
      <c r="L47" t="s">
        <v>105</v>
      </c>
      <c r="M47" s="3">
        <v>329.98244950334202</v>
      </c>
    </row>
    <row r="48" spans="1:13" x14ac:dyDescent="0.25">
      <c r="A48">
        <v>1047</v>
      </c>
      <c r="B48" s="5">
        <v>44356.474212962959</v>
      </c>
      <c r="C48">
        <v>18353</v>
      </c>
      <c r="D48" t="s">
        <v>65</v>
      </c>
      <c r="E48" t="s">
        <v>25</v>
      </c>
      <c r="F48">
        <v>16</v>
      </c>
      <c r="G48" s="3">
        <f>AVERAGE(M:M)</f>
        <v>262.93599539610597</v>
      </c>
      <c r="H48">
        <v>116117</v>
      </c>
      <c r="I48" t="s">
        <v>62</v>
      </c>
      <c r="J48" t="str">
        <f>VLOOKUP(I48, 'State-Regions'!A:B, 2, FALSE)</f>
        <v>South</v>
      </c>
      <c r="K48" s="3">
        <f t="shared" si="0"/>
        <v>4206.9759263376955</v>
      </c>
      <c r="L48" t="s">
        <v>105</v>
      </c>
    </row>
    <row r="49" spans="1:13" x14ac:dyDescent="0.25">
      <c r="A49">
        <v>1048</v>
      </c>
      <c r="B49" s="5">
        <v>44417.161597222221</v>
      </c>
      <c r="C49">
        <v>16639</v>
      </c>
      <c r="D49" t="s">
        <v>104</v>
      </c>
      <c r="E49" t="s">
        <v>14</v>
      </c>
      <c r="F49">
        <v>11</v>
      </c>
      <c r="G49" s="3">
        <v>357.87867352765841</v>
      </c>
      <c r="H49">
        <v>119419</v>
      </c>
      <c r="I49" t="s">
        <v>13</v>
      </c>
      <c r="J49" t="str">
        <f>VLOOKUP(I49, 'State-Regions'!A:B, 2, FALSE)</f>
        <v>Midwest</v>
      </c>
      <c r="K49" s="3">
        <f t="shared" si="0"/>
        <v>3936.6654088042424</v>
      </c>
      <c r="L49" t="s">
        <v>105</v>
      </c>
      <c r="M49" s="3">
        <v>357.87867352765841</v>
      </c>
    </row>
    <row r="50" spans="1:13" x14ac:dyDescent="0.25">
      <c r="A50">
        <v>1049</v>
      </c>
      <c r="B50" s="5">
        <v>44362.038159722222</v>
      </c>
      <c r="C50">
        <v>13484</v>
      </c>
      <c r="D50" t="s">
        <v>38</v>
      </c>
      <c r="E50" t="s">
        <v>25</v>
      </c>
      <c r="F50">
        <v>6</v>
      </c>
      <c r="G50" s="3">
        <v>114.279397517202</v>
      </c>
      <c r="H50">
        <v>150804</v>
      </c>
      <c r="I50" t="s">
        <v>32</v>
      </c>
      <c r="J50" t="str">
        <f>VLOOKUP(I50, 'State-Regions'!A:B, 2, FALSE)</f>
        <v>Midwest</v>
      </c>
      <c r="K50" s="3">
        <f t="shared" si="0"/>
        <v>685.67638510321194</v>
      </c>
      <c r="L50" t="s">
        <v>105</v>
      </c>
      <c r="M50" s="3">
        <v>114.279397517202</v>
      </c>
    </row>
    <row r="51" spans="1:13" x14ac:dyDescent="0.25">
      <c r="A51">
        <v>1050</v>
      </c>
      <c r="B51" s="5">
        <v>44488.784074074072</v>
      </c>
      <c r="C51">
        <v>10931</v>
      </c>
      <c r="D51" t="s">
        <v>27</v>
      </c>
      <c r="E51" t="s">
        <v>25</v>
      </c>
      <c r="F51">
        <v>3</v>
      </c>
      <c r="G51" s="3">
        <v>51.909426648071182</v>
      </c>
      <c r="H51">
        <v>172015</v>
      </c>
      <c r="I51" t="s">
        <v>66</v>
      </c>
      <c r="J51" t="str">
        <f>VLOOKUP(I51, 'State-Regions'!A:B, 2, FALSE)</f>
        <v>Northeast</v>
      </c>
      <c r="K51" s="3">
        <f t="shared" si="0"/>
        <v>155.72827994421354</v>
      </c>
      <c r="L51" t="s">
        <v>105</v>
      </c>
      <c r="M51" s="3">
        <v>51.909426648071182</v>
      </c>
    </row>
    <row r="52" spans="1:13" x14ac:dyDescent="0.25">
      <c r="A52">
        <v>1051</v>
      </c>
      <c r="B52" s="5">
        <v>44457.686099537037</v>
      </c>
      <c r="C52">
        <v>14515</v>
      </c>
      <c r="D52" t="s">
        <v>40</v>
      </c>
      <c r="E52" t="s">
        <v>12</v>
      </c>
      <c r="F52">
        <v>15</v>
      </c>
      <c r="G52" s="3">
        <v>391.66326624624111</v>
      </c>
      <c r="H52">
        <v>192075</v>
      </c>
      <c r="I52" t="s">
        <v>58</v>
      </c>
      <c r="J52" t="str">
        <f>VLOOKUP(I52, 'State-Regions'!A:B, 2, FALSE)</f>
        <v>Midwest</v>
      </c>
      <c r="K52" s="3">
        <f t="shared" si="0"/>
        <v>5874.948993693617</v>
      </c>
      <c r="L52" t="s">
        <v>105</v>
      </c>
      <c r="M52" s="3">
        <v>391.66326624624111</v>
      </c>
    </row>
    <row r="53" spans="1:13" x14ac:dyDescent="0.25">
      <c r="A53">
        <v>1052</v>
      </c>
      <c r="B53" s="5">
        <v>44426.51462962963</v>
      </c>
      <c r="C53">
        <v>12250</v>
      </c>
      <c r="D53" t="s">
        <v>59</v>
      </c>
      <c r="E53" t="s">
        <v>25</v>
      </c>
      <c r="F53">
        <v>6</v>
      </c>
      <c r="G53" s="3">
        <v>72.887977873754807</v>
      </c>
      <c r="H53">
        <v>119058</v>
      </c>
      <c r="I53" t="s">
        <v>67</v>
      </c>
      <c r="J53" t="str">
        <f>VLOOKUP(I53, 'State-Regions'!A:B, 2, FALSE)</f>
        <v>West</v>
      </c>
      <c r="K53" s="3">
        <f t="shared" si="0"/>
        <v>437.32786724252884</v>
      </c>
      <c r="L53" t="s">
        <v>105</v>
      </c>
      <c r="M53" s="3">
        <v>72.887977873754807</v>
      </c>
    </row>
    <row r="54" spans="1:13" x14ac:dyDescent="0.25">
      <c r="A54">
        <v>1053</v>
      </c>
      <c r="B54" s="5">
        <v>44372.182766203703</v>
      </c>
      <c r="C54">
        <v>12034</v>
      </c>
      <c r="D54" t="s">
        <v>40</v>
      </c>
      <c r="E54" t="s">
        <v>12</v>
      </c>
      <c r="F54">
        <v>1</v>
      </c>
      <c r="G54" s="3">
        <v>346.45468162695039</v>
      </c>
      <c r="H54">
        <v>191384</v>
      </c>
      <c r="I54" t="s">
        <v>55</v>
      </c>
      <c r="J54" t="str">
        <f>VLOOKUP(I54, 'State-Regions'!A:B, 2, FALSE)</f>
        <v>Northeast</v>
      </c>
      <c r="K54" s="3">
        <f t="shared" si="0"/>
        <v>346.45468162695039</v>
      </c>
      <c r="L54" t="s">
        <v>105</v>
      </c>
      <c r="M54" s="3">
        <v>346.45468162695039</v>
      </c>
    </row>
    <row r="55" spans="1:13" x14ac:dyDescent="0.25">
      <c r="A55">
        <v>1054</v>
      </c>
      <c r="B55" s="5">
        <v>44544.401030092587</v>
      </c>
      <c r="C55">
        <v>16168</v>
      </c>
      <c r="D55" t="s">
        <v>34</v>
      </c>
      <c r="E55" t="s">
        <v>12</v>
      </c>
      <c r="F55">
        <v>6</v>
      </c>
      <c r="G55" s="3">
        <v>439.27827843452297</v>
      </c>
      <c r="H55">
        <v>175179</v>
      </c>
      <c r="I55" t="s">
        <v>64</v>
      </c>
      <c r="J55" t="str">
        <f>VLOOKUP(I55, 'State-Regions'!A:B, 2, FALSE)</f>
        <v>West</v>
      </c>
      <c r="K55" s="3">
        <f t="shared" si="0"/>
        <v>2635.669670607138</v>
      </c>
      <c r="L55" t="s">
        <v>105</v>
      </c>
      <c r="M55" s="3">
        <v>439.27827843452297</v>
      </c>
    </row>
    <row r="56" spans="1:13" x14ac:dyDescent="0.25">
      <c r="A56">
        <v>1055</v>
      </c>
      <c r="B56" s="5">
        <v>44273.197384259263</v>
      </c>
      <c r="C56">
        <v>15282</v>
      </c>
      <c r="D56" t="s">
        <v>40</v>
      </c>
      <c r="E56" t="s">
        <v>31</v>
      </c>
      <c r="F56">
        <v>4</v>
      </c>
      <c r="G56" s="3">
        <v>428.56881272754617</v>
      </c>
      <c r="H56">
        <v>112073</v>
      </c>
      <c r="I56" t="s">
        <v>68</v>
      </c>
      <c r="J56" t="str">
        <f>VLOOKUP(I56, 'State-Regions'!A:B, 2, FALSE)</f>
        <v>Northeast</v>
      </c>
      <c r="K56" s="3">
        <f t="shared" si="0"/>
        <v>1714.2752509101847</v>
      </c>
      <c r="L56" t="s">
        <v>105</v>
      </c>
      <c r="M56" s="3">
        <v>428.56881272754617</v>
      </c>
    </row>
    <row r="57" spans="1:13" x14ac:dyDescent="0.25">
      <c r="A57">
        <v>1056</v>
      </c>
      <c r="B57" s="5">
        <v>44317.622476851851</v>
      </c>
      <c r="C57">
        <v>14791</v>
      </c>
      <c r="D57" t="s">
        <v>69</v>
      </c>
      <c r="E57" t="s">
        <v>12</v>
      </c>
      <c r="F57">
        <v>11</v>
      </c>
      <c r="G57" s="3">
        <v>99.50613589859303</v>
      </c>
      <c r="H57">
        <v>153662</v>
      </c>
      <c r="I57" t="s">
        <v>70</v>
      </c>
      <c r="J57" t="str">
        <f>VLOOKUP(I57, 'State-Regions'!A:B, 2, FALSE)</f>
        <v>West</v>
      </c>
      <c r="K57" s="3">
        <f t="shared" si="0"/>
        <v>1094.5674948845233</v>
      </c>
      <c r="L57" t="s">
        <v>105</v>
      </c>
      <c r="M57" s="3">
        <v>99.50613589859303</v>
      </c>
    </row>
    <row r="58" spans="1:13" x14ac:dyDescent="0.25">
      <c r="A58">
        <v>1057</v>
      </c>
      <c r="B58" s="5">
        <v>44514.625775462962</v>
      </c>
      <c r="C58">
        <v>11873</v>
      </c>
      <c r="D58" t="s">
        <v>51</v>
      </c>
      <c r="E58" t="s">
        <v>14</v>
      </c>
      <c r="F58">
        <v>15</v>
      </c>
      <c r="G58" s="3">
        <v>463.7554199750503</v>
      </c>
      <c r="H58">
        <v>128346</v>
      </c>
      <c r="I58" t="s">
        <v>71</v>
      </c>
      <c r="J58" t="str">
        <f>VLOOKUP(I58, 'State-Regions'!A:B, 2, FALSE)</f>
        <v>South</v>
      </c>
      <c r="K58" s="3">
        <f t="shared" si="0"/>
        <v>6956.3312996257546</v>
      </c>
      <c r="L58" t="s">
        <v>105</v>
      </c>
      <c r="M58" s="3">
        <v>463.7554199750503</v>
      </c>
    </row>
    <row r="59" spans="1:13" x14ac:dyDescent="0.25">
      <c r="A59">
        <v>1058</v>
      </c>
      <c r="B59" s="5">
        <v>44410.301307870373</v>
      </c>
      <c r="C59">
        <v>17932</v>
      </c>
      <c r="D59" t="s">
        <v>16</v>
      </c>
      <c r="E59" t="s">
        <v>12</v>
      </c>
      <c r="F59">
        <v>6</v>
      </c>
      <c r="G59" s="3">
        <v>411.87301108405092</v>
      </c>
      <c r="H59">
        <v>158069</v>
      </c>
      <c r="I59" t="s">
        <v>41</v>
      </c>
      <c r="J59" t="str">
        <f>VLOOKUP(I59, 'State-Regions'!A:B, 2, FALSE)</f>
        <v>Midwest</v>
      </c>
      <c r="K59" s="3">
        <f t="shared" si="0"/>
        <v>2471.2380665043056</v>
      </c>
      <c r="L59" t="s">
        <v>105</v>
      </c>
      <c r="M59" s="3">
        <v>411.87301108405092</v>
      </c>
    </row>
    <row r="60" spans="1:13" x14ac:dyDescent="0.25">
      <c r="A60">
        <v>1059</v>
      </c>
      <c r="B60" s="5">
        <v>44403.90828703704</v>
      </c>
      <c r="C60">
        <v>12334</v>
      </c>
      <c r="D60" t="s">
        <v>72</v>
      </c>
      <c r="E60" t="s">
        <v>12</v>
      </c>
      <c r="F60">
        <v>4</v>
      </c>
      <c r="G60" s="3">
        <v>168.34415283745861</v>
      </c>
      <c r="H60">
        <v>134117</v>
      </c>
      <c r="I60" t="s">
        <v>35</v>
      </c>
      <c r="J60" t="str">
        <f>VLOOKUP(I60, 'State-Regions'!A:B, 2, FALSE)</f>
        <v>West</v>
      </c>
      <c r="K60" s="3">
        <f t="shared" si="0"/>
        <v>673.37661134983443</v>
      </c>
      <c r="L60" t="s">
        <v>105</v>
      </c>
      <c r="M60" s="3">
        <v>168.34415283745861</v>
      </c>
    </row>
    <row r="61" spans="1:13" x14ac:dyDescent="0.25">
      <c r="A61">
        <v>1060</v>
      </c>
      <c r="B61" s="5">
        <v>44524.353472222218</v>
      </c>
      <c r="C61">
        <v>12788</v>
      </c>
      <c r="D61" t="s">
        <v>27</v>
      </c>
      <c r="E61" t="s">
        <v>25</v>
      </c>
      <c r="F61">
        <v>13</v>
      </c>
      <c r="G61" s="3">
        <v>133.5095858691457</v>
      </c>
      <c r="H61">
        <v>124477</v>
      </c>
      <c r="I61" t="s">
        <v>55</v>
      </c>
      <c r="J61" t="str">
        <f>VLOOKUP(I61, 'State-Regions'!A:B, 2, FALSE)</f>
        <v>Northeast</v>
      </c>
      <c r="K61" s="3">
        <f t="shared" si="0"/>
        <v>1735.6246162988941</v>
      </c>
      <c r="L61" t="s">
        <v>105</v>
      </c>
      <c r="M61" s="3">
        <v>133.5095858691457</v>
      </c>
    </row>
    <row r="62" spans="1:13" x14ac:dyDescent="0.25">
      <c r="A62">
        <v>1061</v>
      </c>
      <c r="B62" s="5">
        <v>44336.119120370371</v>
      </c>
      <c r="C62">
        <v>11211</v>
      </c>
      <c r="D62" t="s">
        <v>73</v>
      </c>
      <c r="E62" t="s">
        <v>25</v>
      </c>
      <c r="F62">
        <v>13</v>
      </c>
      <c r="G62" s="3">
        <v>405.24897161674352</v>
      </c>
      <c r="H62">
        <v>119257</v>
      </c>
      <c r="I62" t="s">
        <v>64</v>
      </c>
      <c r="J62" t="str">
        <f>VLOOKUP(I62, 'State-Regions'!A:B, 2, FALSE)</f>
        <v>West</v>
      </c>
      <c r="K62" s="3">
        <f t="shared" si="0"/>
        <v>5268.2366310176658</v>
      </c>
      <c r="L62" t="s">
        <v>105</v>
      </c>
      <c r="M62" s="3">
        <v>405.24897161674352</v>
      </c>
    </row>
    <row r="63" spans="1:13" x14ac:dyDescent="0.25">
      <c r="A63">
        <v>1062</v>
      </c>
      <c r="B63" s="5">
        <v>44486.791006944448</v>
      </c>
      <c r="C63">
        <v>11374</v>
      </c>
      <c r="D63" t="s">
        <v>40</v>
      </c>
      <c r="E63" t="s">
        <v>14</v>
      </c>
      <c r="F63">
        <v>1</v>
      </c>
      <c r="G63" s="3">
        <v>227.07519092742211</v>
      </c>
      <c r="H63">
        <v>142239</v>
      </c>
      <c r="I63" t="s">
        <v>48</v>
      </c>
      <c r="J63" t="str">
        <f>VLOOKUP(I63, 'State-Regions'!A:B, 2, FALSE)</f>
        <v>West</v>
      </c>
      <c r="K63" s="3">
        <f t="shared" si="0"/>
        <v>227.07519092742211</v>
      </c>
      <c r="L63" t="s">
        <v>105</v>
      </c>
      <c r="M63" s="3">
        <v>227.07519092742211</v>
      </c>
    </row>
    <row r="64" spans="1:13" x14ac:dyDescent="0.25">
      <c r="A64">
        <v>1063</v>
      </c>
      <c r="B64" s="5">
        <v>44244.318657407413</v>
      </c>
      <c r="C64">
        <v>19344</v>
      </c>
      <c r="D64" t="s">
        <v>104</v>
      </c>
      <c r="E64" t="s">
        <v>31</v>
      </c>
      <c r="F64">
        <v>1</v>
      </c>
      <c r="G64" s="3">
        <v>259.75503864707758</v>
      </c>
      <c r="H64">
        <v>108754</v>
      </c>
      <c r="I64" t="s">
        <v>55</v>
      </c>
      <c r="J64" t="str">
        <f>VLOOKUP(I64, 'State-Regions'!A:B, 2, FALSE)</f>
        <v>Northeast</v>
      </c>
      <c r="K64" s="3">
        <f t="shared" si="0"/>
        <v>259.75503864707758</v>
      </c>
      <c r="L64" t="s">
        <v>105</v>
      </c>
      <c r="M64" s="3">
        <v>259.75503864707758</v>
      </c>
    </row>
    <row r="65" spans="1:13" x14ac:dyDescent="0.25">
      <c r="A65">
        <v>1064</v>
      </c>
      <c r="B65" s="5">
        <v>44212.437361111108</v>
      </c>
      <c r="C65">
        <v>18542</v>
      </c>
      <c r="D65" t="s">
        <v>43</v>
      </c>
      <c r="E65" t="s">
        <v>25</v>
      </c>
      <c r="F65">
        <v>7</v>
      </c>
      <c r="G65" s="3">
        <v>24.662567374430409</v>
      </c>
      <c r="H65">
        <v>161260</v>
      </c>
      <c r="I65" t="s">
        <v>56</v>
      </c>
      <c r="J65" t="str">
        <f>VLOOKUP(I65, 'State-Regions'!A:B, 2, FALSE)</f>
        <v>West</v>
      </c>
      <c r="K65" s="3">
        <f t="shared" si="0"/>
        <v>172.63797162101287</v>
      </c>
      <c r="L65" t="s">
        <v>105</v>
      </c>
      <c r="M65" s="3">
        <v>24.662567374430409</v>
      </c>
    </row>
    <row r="66" spans="1:13" x14ac:dyDescent="0.25">
      <c r="A66">
        <v>1065</v>
      </c>
      <c r="B66" s="5">
        <v>44358.241261574083</v>
      </c>
      <c r="C66">
        <v>17608</v>
      </c>
      <c r="D66" t="s">
        <v>59</v>
      </c>
      <c r="E66" t="s">
        <v>12</v>
      </c>
      <c r="F66">
        <v>5</v>
      </c>
      <c r="G66" s="3">
        <v>424.75324325436162</v>
      </c>
      <c r="H66">
        <v>129798</v>
      </c>
      <c r="I66" t="s">
        <v>39</v>
      </c>
      <c r="J66" t="str">
        <f>VLOOKUP(I66, 'State-Regions'!A:B, 2, FALSE)</f>
        <v>Midwest</v>
      </c>
      <c r="K66" s="3">
        <f t="shared" si="0"/>
        <v>2123.7662162718079</v>
      </c>
      <c r="L66" t="s">
        <v>105</v>
      </c>
      <c r="M66" s="3">
        <v>424.75324325436162</v>
      </c>
    </row>
    <row r="67" spans="1:13" x14ac:dyDescent="0.25">
      <c r="A67">
        <v>1066</v>
      </c>
      <c r="B67" s="5">
        <v>44482.749097222222</v>
      </c>
      <c r="C67">
        <v>16491</v>
      </c>
      <c r="D67" t="s">
        <v>27</v>
      </c>
      <c r="E67" t="s">
        <v>31</v>
      </c>
      <c r="F67">
        <v>9</v>
      </c>
      <c r="G67" s="3">
        <v>419.08694365711608</v>
      </c>
      <c r="H67">
        <v>122041</v>
      </c>
      <c r="I67" t="s">
        <v>13</v>
      </c>
      <c r="J67" t="str">
        <f>VLOOKUP(I67, 'State-Regions'!A:B, 2, FALSE)</f>
        <v>Midwest</v>
      </c>
      <c r="K67" s="3">
        <f t="shared" si="0"/>
        <v>3771.7824929140447</v>
      </c>
      <c r="L67" t="s">
        <v>105</v>
      </c>
      <c r="M67" s="3">
        <v>419.08694365711608</v>
      </c>
    </row>
    <row r="68" spans="1:13" x14ac:dyDescent="0.25">
      <c r="A68">
        <v>1067</v>
      </c>
      <c r="B68" s="5">
        <v>44251.917627314811</v>
      </c>
      <c r="C68">
        <v>18479</v>
      </c>
      <c r="D68" t="s">
        <v>20</v>
      </c>
      <c r="E68" t="s">
        <v>25</v>
      </c>
      <c r="F68">
        <v>5</v>
      </c>
      <c r="G68" s="3">
        <f>AVERAGE(M:M)</f>
        <v>262.93599539610597</v>
      </c>
      <c r="H68">
        <v>113830</v>
      </c>
      <c r="I68" t="s">
        <v>58</v>
      </c>
      <c r="J68" t="str">
        <f>VLOOKUP(I68, 'State-Regions'!A:B, 2, FALSE)</f>
        <v>Midwest</v>
      </c>
      <c r="K68" s="3">
        <f t="shared" ref="K68:K132" si="1">G68*F68</f>
        <v>1314.6799769805298</v>
      </c>
      <c r="L68" t="s">
        <v>105</v>
      </c>
    </row>
    <row r="69" spans="1:13" x14ac:dyDescent="0.25">
      <c r="A69">
        <v>1068</v>
      </c>
      <c r="B69" s="5">
        <v>44454.258842592593</v>
      </c>
      <c r="C69">
        <v>16754</v>
      </c>
      <c r="D69" t="s">
        <v>18</v>
      </c>
      <c r="E69" t="s">
        <v>12</v>
      </c>
      <c r="F69">
        <v>11</v>
      </c>
      <c r="G69" s="3">
        <v>288.0568436792027</v>
      </c>
      <c r="H69">
        <v>141765</v>
      </c>
      <c r="I69" t="s">
        <v>39</v>
      </c>
      <c r="J69" t="str">
        <f>VLOOKUP(I69, 'State-Regions'!A:B, 2, FALSE)</f>
        <v>Midwest</v>
      </c>
      <c r="K69" s="3">
        <f t="shared" si="1"/>
        <v>3168.6252804712299</v>
      </c>
      <c r="L69" t="s">
        <v>105</v>
      </c>
      <c r="M69" s="3">
        <v>288.0568436792027</v>
      </c>
    </row>
    <row r="70" spans="1:13" x14ac:dyDescent="0.25">
      <c r="A70">
        <v>1069</v>
      </c>
      <c r="B70" s="5">
        <v>44498.797534722216</v>
      </c>
      <c r="C70">
        <v>17751</v>
      </c>
      <c r="D70" t="s">
        <v>74</v>
      </c>
      <c r="E70" t="s">
        <v>12</v>
      </c>
      <c r="F70">
        <v>17</v>
      </c>
      <c r="G70" s="3">
        <v>392.25480609598719</v>
      </c>
      <c r="H70">
        <v>107082</v>
      </c>
      <c r="I70" t="s">
        <v>64</v>
      </c>
      <c r="J70" t="str">
        <f>VLOOKUP(I70, 'State-Regions'!A:B, 2, FALSE)</f>
        <v>West</v>
      </c>
      <c r="K70" s="3">
        <f t="shared" si="1"/>
        <v>6668.3317036317821</v>
      </c>
      <c r="L70" t="s">
        <v>105</v>
      </c>
      <c r="M70" s="3">
        <v>392.25480609598719</v>
      </c>
    </row>
    <row r="71" spans="1:13" x14ac:dyDescent="0.25">
      <c r="A71">
        <v>1070</v>
      </c>
      <c r="B71" s="5">
        <v>44401.101226851853</v>
      </c>
      <c r="C71">
        <v>17576</v>
      </c>
      <c r="D71" t="s">
        <v>47</v>
      </c>
      <c r="E71" t="s">
        <v>25</v>
      </c>
      <c r="F71">
        <v>17</v>
      </c>
      <c r="G71" s="3">
        <v>49.893231522578652</v>
      </c>
      <c r="H71">
        <v>178577</v>
      </c>
      <c r="I71" t="s">
        <v>56</v>
      </c>
      <c r="J71" t="str">
        <f>VLOOKUP(I71, 'State-Regions'!A:B, 2, FALSE)</f>
        <v>West</v>
      </c>
      <c r="K71" s="3">
        <f t="shared" si="1"/>
        <v>848.18493588383706</v>
      </c>
      <c r="L71" t="s">
        <v>105</v>
      </c>
      <c r="M71" s="3">
        <v>49.893231522578652</v>
      </c>
    </row>
    <row r="72" spans="1:13" x14ac:dyDescent="0.25">
      <c r="A72">
        <v>1071</v>
      </c>
      <c r="B72" s="5">
        <v>44306.062164351853</v>
      </c>
      <c r="C72">
        <v>12903</v>
      </c>
      <c r="D72" t="s">
        <v>74</v>
      </c>
      <c r="E72" t="s">
        <v>31</v>
      </c>
      <c r="F72">
        <v>12</v>
      </c>
      <c r="G72" s="3">
        <v>295.80815000340289</v>
      </c>
      <c r="H72">
        <v>103888</v>
      </c>
      <c r="I72" t="s">
        <v>45</v>
      </c>
      <c r="J72" t="str">
        <f>VLOOKUP(I72, 'State-Regions'!A:B, 2, FALSE)</f>
        <v>South</v>
      </c>
      <c r="K72" s="3">
        <f t="shared" si="1"/>
        <v>3549.6978000408344</v>
      </c>
      <c r="L72" t="s">
        <v>105</v>
      </c>
      <c r="M72" s="3">
        <v>295.80815000340289</v>
      </c>
    </row>
    <row r="73" spans="1:13" x14ac:dyDescent="0.25">
      <c r="A73">
        <v>1007</v>
      </c>
      <c r="B73" s="5">
        <v>44361.362800925926</v>
      </c>
      <c r="C73">
        <v>16025</v>
      </c>
      <c r="D73" t="s">
        <v>24</v>
      </c>
      <c r="E73" t="s">
        <v>25</v>
      </c>
      <c r="F73">
        <v>5</v>
      </c>
      <c r="G73" s="3">
        <v>296.26549231574649</v>
      </c>
      <c r="H73">
        <v>109358</v>
      </c>
      <c r="I73" t="s">
        <v>26</v>
      </c>
      <c r="J73" t="str">
        <f>VLOOKUP(I73, 'State-Regions'!A:B, 2, FALSE)</f>
        <v>West</v>
      </c>
      <c r="K73" s="3">
        <f t="shared" si="1"/>
        <v>1481.3274615787325</v>
      </c>
      <c r="L73" t="s">
        <v>105</v>
      </c>
      <c r="M73" s="3">
        <v>296.26549231574649</v>
      </c>
    </row>
    <row r="74" spans="1:13" x14ac:dyDescent="0.25">
      <c r="A74">
        <v>1072</v>
      </c>
      <c r="B74" s="5">
        <v>44208.015625</v>
      </c>
      <c r="C74">
        <v>15250</v>
      </c>
      <c r="D74" t="s">
        <v>24</v>
      </c>
      <c r="E74" t="s">
        <v>14</v>
      </c>
      <c r="F74">
        <v>10</v>
      </c>
      <c r="G74" s="3">
        <v>143.79362651822649</v>
      </c>
      <c r="H74">
        <v>171094</v>
      </c>
      <c r="I74" t="s">
        <v>67</v>
      </c>
      <c r="J74" t="str">
        <f>VLOOKUP(I74, 'State-Regions'!A:B, 2, FALSE)</f>
        <v>West</v>
      </c>
      <c r="K74" s="3">
        <f t="shared" si="1"/>
        <v>1437.9362651822648</v>
      </c>
      <c r="L74" t="s">
        <v>105</v>
      </c>
      <c r="M74" s="3">
        <v>143.79362651822649</v>
      </c>
    </row>
    <row r="75" spans="1:13" x14ac:dyDescent="0.25">
      <c r="A75">
        <v>1073</v>
      </c>
      <c r="B75" s="5">
        <v>44407.427291666667</v>
      </c>
      <c r="C75">
        <v>10805</v>
      </c>
      <c r="D75" t="s">
        <v>47</v>
      </c>
      <c r="E75" t="s">
        <v>25</v>
      </c>
      <c r="F75">
        <v>19</v>
      </c>
      <c r="G75" s="3">
        <v>401.76404238384953</v>
      </c>
      <c r="H75">
        <v>170578</v>
      </c>
      <c r="I75" t="s">
        <v>68</v>
      </c>
      <c r="J75" t="str">
        <f>VLOOKUP(I75, 'State-Regions'!A:B, 2, FALSE)</f>
        <v>Northeast</v>
      </c>
      <c r="K75" s="3">
        <f t="shared" si="1"/>
        <v>7633.5168052931413</v>
      </c>
      <c r="L75" t="s">
        <v>105</v>
      </c>
      <c r="M75" s="3">
        <v>401.76404238384953</v>
      </c>
    </row>
    <row r="76" spans="1:13" x14ac:dyDescent="0.25">
      <c r="A76">
        <v>1074</v>
      </c>
      <c r="B76" s="5">
        <v>44234.99658564815</v>
      </c>
      <c r="C76">
        <v>11856</v>
      </c>
      <c r="D76" t="s">
        <v>24</v>
      </c>
      <c r="E76" t="s">
        <v>31</v>
      </c>
      <c r="F76">
        <v>15</v>
      </c>
      <c r="G76" s="3">
        <v>387.75265166674768</v>
      </c>
      <c r="H76">
        <v>100095</v>
      </c>
      <c r="I76" t="s">
        <v>37</v>
      </c>
      <c r="J76" t="str">
        <f>VLOOKUP(I76, 'State-Regions'!A:B, 2, FALSE)</f>
        <v>Northeast</v>
      </c>
      <c r="K76" s="3">
        <f t="shared" si="1"/>
        <v>5816.2897750012153</v>
      </c>
      <c r="L76" t="s">
        <v>105</v>
      </c>
      <c r="M76" s="3">
        <v>387.75265166674768</v>
      </c>
    </row>
    <row r="77" spans="1:13" x14ac:dyDescent="0.25">
      <c r="A77">
        <v>1075</v>
      </c>
      <c r="B77" s="5">
        <v>44365.646203703713</v>
      </c>
      <c r="C77">
        <v>16546</v>
      </c>
      <c r="D77" t="s">
        <v>43</v>
      </c>
      <c r="E77" t="s">
        <v>12</v>
      </c>
      <c r="F77">
        <v>10</v>
      </c>
      <c r="G77" s="3">
        <v>134.0477038758641</v>
      </c>
      <c r="H77">
        <v>116070</v>
      </c>
      <c r="I77" t="s">
        <v>75</v>
      </c>
      <c r="J77" t="str">
        <f>VLOOKUP(I77, 'State-Regions'!A:B, 2, FALSE)</f>
        <v>Midwest</v>
      </c>
      <c r="K77" s="3">
        <f t="shared" si="1"/>
        <v>1340.4770387586409</v>
      </c>
      <c r="L77" t="s">
        <v>105</v>
      </c>
      <c r="M77" s="3">
        <v>134.0477038758641</v>
      </c>
    </row>
    <row r="78" spans="1:13" x14ac:dyDescent="0.25">
      <c r="A78">
        <v>1076</v>
      </c>
      <c r="B78" s="5">
        <v>44469.328935185193</v>
      </c>
      <c r="C78">
        <v>19800</v>
      </c>
      <c r="D78" t="s">
        <v>22</v>
      </c>
      <c r="E78" t="s">
        <v>31</v>
      </c>
      <c r="F78">
        <v>10</v>
      </c>
      <c r="G78" s="3">
        <v>250.78446559895031</v>
      </c>
      <c r="H78">
        <v>122893</v>
      </c>
      <c r="I78" t="s">
        <v>76</v>
      </c>
      <c r="J78" t="str">
        <f>VLOOKUP(I78, 'State-Regions'!A:B, 2, FALSE)</f>
        <v>West</v>
      </c>
      <c r="K78" s="3">
        <f t="shared" si="1"/>
        <v>2507.8446559895028</v>
      </c>
      <c r="L78" t="s">
        <v>105</v>
      </c>
      <c r="M78" s="3">
        <v>250.78446559895031</v>
      </c>
    </row>
    <row r="79" spans="1:13" x14ac:dyDescent="0.25">
      <c r="A79">
        <v>1077</v>
      </c>
      <c r="B79" s="5">
        <v>44305.774421296293</v>
      </c>
      <c r="C79">
        <v>18070</v>
      </c>
      <c r="D79" t="s">
        <v>36</v>
      </c>
      <c r="E79" t="s">
        <v>12</v>
      </c>
      <c r="F79">
        <v>4</v>
      </c>
      <c r="G79" s="3">
        <v>473.41204701505637</v>
      </c>
      <c r="H79">
        <v>165288</v>
      </c>
      <c r="I79" t="s">
        <v>23</v>
      </c>
      <c r="J79" t="str">
        <f>VLOOKUP(I79, 'State-Regions'!A:B, 2, FALSE)</f>
        <v>South</v>
      </c>
      <c r="K79" s="3">
        <f t="shared" si="1"/>
        <v>1893.6481880602255</v>
      </c>
      <c r="L79" t="s">
        <v>105</v>
      </c>
      <c r="M79" s="3">
        <v>473.41204701505637</v>
      </c>
    </row>
    <row r="80" spans="1:13" x14ac:dyDescent="0.25">
      <c r="A80">
        <v>1078</v>
      </c>
      <c r="B80" s="5">
        <v>44525.788842592592</v>
      </c>
      <c r="C80">
        <v>14726</v>
      </c>
      <c r="D80" t="s">
        <v>34</v>
      </c>
      <c r="E80" t="s">
        <v>25</v>
      </c>
      <c r="F80">
        <v>11</v>
      </c>
      <c r="G80" s="3">
        <v>11.13400200665075</v>
      </c>
      <c r="H80">
        <v>117533</v>
      </c>
      <c r="I80" t="s">
        <v>55</v>
      </c>
      <c r="J80" t="str">
        <f>VLOOKUP(I80, 'State-Regions'!A:B, 2, FALSE)</f>
        <v>Northeast</v>
      </c>
      <c r="K80" s="3">
        <f t="shared" si="1"/>
        <v>122.47402207315825</v>
      </c>
      <c r="L80" t="s">
        <v>105</v>
      </c>
      <c r="M80" s="3">
        <v>11.13400200665075</v>
      </c>
    </row>
    <row r="81" spans="1:13" x14ac:dyDescent="0.25">
      <c r="A81">
        <v>1079</v>
      </c>
      <c r="B81" s="5">
        <v>44307.091249999998</v>
      </c>
      <c r="C81">
        <v>11744</v>
      </c>
      <c r="D81" t="s">
        <v>20</v>
      </c>
      <c r="E81" t="s">
        <v>12</v>
      </c>
      <c r="F81">
        <v>1</v>
      </c>
      <c r="G81" s="3">
        <v>412.10664155548932</v>
      </c>
      <c r="H81">
        <v>162110</v>
      </c>
      <c r="I81" t="s">
        <v>41</v>
      </c>
      <c r="J81" t="str">
        <f>VLOOKUP(I81, 'State-Regions'!A:B, 2, FALSE)</f>
        <v>Midwest</v>
      </c>
      <c r="K81" s="3">
        <f t="shared" si="1"/>
        <v>412.10664155548932</v>
      </c>
      <c r="L81" t="s">
        <v>105</v>
      </c>
      <c r="M81" s="3">
        <v>412.10664155548932</v>
      </c>
    </row>
    <row r="82" spans="1:13" x14ac:dyDescent="0.25">
      <c r="A82">
        <v>1080</v>
      </c>
      <c r="B82" s="5">
        <v>44330.99423611111</v>
      </c>
      <c r="C82">
        <v>19632</v>
      </c>
      <c r="D82" t="s">
        <v>20</v>
      </c>
      <c r="E82" t="s">
        <v>31</v>
      </c>
      <c r="F82">
        <v>7</v>
      </c>
      <c r="G82" s="3">
        <v>346.02498984047969</v>
      </c>
      <c r="H82">
        <v>112966</v>
      </c>
      <c r="I82" t="s">
        <v>77</v>
      </c>
      <c r="J82" t="str">
        <f>VLOOKUP(I82, 'State-Regions'!A:B, 2, FALSE)</f>
        <v>South</v>
      </c>
      <c r="K82" s="3">
        <f t="shared" si="1"/>
        <v>2422.174928883358</v>
      </c>
      <c r="L82" t="s">
        <v>105</v>
      </c>
      <c r="M82" s="3">
        <v>346.02498984047969</v>
      </c>
    </row>
    <row r="83" spans="1:13" x14ac:dyDescent="0.25">
      <c r="A83">
        <v>1081</v>
      </c>
      <c r="B83" s="5">
        <v>44438.151736111111</v>
      </c>
      <c r="C83">
        <v>16306</v>
      </c>
      <c r="D83" t="s">
        <v>36</v>
      </c>
      <c r="E83" t="s">
        <v>12</v>
      </c>
      <c r="F83">
        <v>12</v>
      </c>
      <c r="G83" s="3">
        <v>267.18905229619912</v>
      </c>
      <c r="H83">
        <v>154238</v>
      </c>
      <c r="I83" t="s">
        <v>19</v>
      </c>
      <c r="J83" t="str">
        <f>VLOOKUP(I83, 'State-Regions'!A:B, 2, FALSE)</f>
        <v>South</v>
      </c>
      <c r="K83" s="3">
        <f t="shared" si="1"/>
        <v>3206.2686275543892</v>
      </c>
      <c r="L83" t="s">
        <v>105</v>
      </c>
      <c r="M83" s="3">
        <v>267.18905229619912</v>
      </c>
    </row>
    <row r="84" spans="1:13" x14ac:dyDescent="0.25">
      <c r="A84">
        <v>1082</v>
      </c>
      <c r="B84" s="5">
        <v>44514.446504629632</v>
      </c>
      <c r="C84">
        <v>17946</v>
      </c>
      <c r="D84" t="s">
        <v>22</v>
      </c>
      <c r="E84" t="s">
        <v>31</v>
      </c>
      <c r="F84">
        <v>9</v>
      </c>
      <c r="G84" s="3">
        <v>235.63700806001469</v>
      </c>
      <c r="H84">
        <v>159257</v>
      </c>
      <c r="I84" t="s">
        <v>19</v>
      </c>
      <c r="J84" t="str">
        <f>VLOOKUP(I84, 'State-Regions'!A:B, 2, FALSE)</f>
        <v>South</v>
      </c>
      <c r="K84" s="3">
        <f t="shared" si="1"/>
        <v>2120.7330725401321</v>
      </c>
      <c r="L84" t="s">
        <v>105</v>
      </c>
      <c r="M84" s="3">
        <v>235.63700806001469</v>
      </c>
    </row>
    <row r="85" spans="1:13" x14ac:dyDescent="0.25">
      <c r="A85">
        <v>1083</v>
      </c>
      <c r="B85" s="5">
        <v>44369.665358796286</v>
      </c>
      <c r="C85">
        <v>16976</v>
      </c>
      <c r="D85" t="s">
        <v>51</v>
      </c>
      <c r="E85" t="s">
        <v>14</v>
      </c>
      <c r="F85">
        <v>12</v>
      </c>
      <c r="G85" s="3">
        <v>14.476017835691851</v>
      </c>
      <c r="H85">
        <v>112189</v>
      </c>
      <c r="I85" t="s">
        <v>75</v>
      </c>
      <c r="J85" t="str">
        <f>VLOOKUP(I85, 'State-Regions'!A:B, 2, FALSE)</f>
        <v>Midwest</v>
      </c>
      <c r="K85" s="3">
        <f t="shared" si="1"/>
        <v>173.71221402830221</v>
      </c>
      <c r="L85" t="s">
        <v>105</v>
      </c>
      <c r="M85" s="3">
        <v>14.476017835691851</v>
      </c>
    </row>
    <row r="86" spans="1:13" x14ac:dyDescent="0.25">
      <c r="A86">
        <v>1084</v>
      </c>
      <c r="B86" s="5">
        <v>44393.789340277777</v>
      </c>
      <c r="C86">
        <v>13667</v>
      </c>
      <c r="D86" t="s">
        <v>51</v>
      </c>
      <c r="E86" t="s">
        <v>12</v>
      </c>
      <c r="F86">
        <v>1</v>
      </c>
      <c r="G86" s="3">
        <v>385.4442064230073</v>
      </c>
      <c r="H86">
        <v>187166</v>
      </c>
      <c r="I86" t="s">
        <v>39</v>
      </c>
      <c r="J86" t="str">
        <f>VLOOKUP(I86, 'State-Regions'!A:B, 2, FALSE)</f>
        <v>Midwest</v>
      </c>
      <c r="K86" s="3">
        <f t="shared" si="1"/>
        <v>385.4442064230073</v>
      </c>
      <c r="L86" t="s">
        <v>105</v>
      </c>
      <c r="M86" s="3">
        <v>385.4442064230073</v>
      </c>
    </row>
    <row r="87" spans="1:13" x14ac:dyDescent="0.25">
      <c r="A87">
        <v>1085</v>
      </c>
      <c r="B87" s="5">
        <v>44541.280555555553</v>
      </c>
      <c r="C87">
        <v>18492</v>
      </c>
      <c r="D87" t="s">
        <v>40</v>
      </c>
      <c r="E87" t="s">
        <v>14</v>
      </c>
      <c r="F87">
        <v>2</v>
      </c>
      <c r="G87" s="3">
        <v>112.4510256288531</v>
      </c>
      <c r="H87">
        <v>125210</v>
      </c>
      <c r="I87" t="s">
        <v>78</v>
      </c>
      <c r="J87" t="str">
        <f>VLOOKUP(I87, 'State-Regions'!A:B, 2, FALSE)</f>
        <v>South</v>
      </c>
      <c r="K87" s="3">
        <f t="shared" si="1"/>
        <v>224.9020512577062</v>
      </c>
      <c r="L87" t="s">
        <v>105</v>
      </c>
      <c r="M87" s="3">
        <v>112.4510256288531</v>
      </c>
    </row>
    <row r="88" spans="1:13" x14ac:dyDescent="0.25">
      <c r="A88">
        <v>1086</v>
      </c>
      <c r="B88" s="5">
        <v>44271.395694444444</v>
      </c>
      <c r="C88">
        <v>12490</v>
      </c>
      <c r="D88" t="s">
        <v>16</v>
      </c>
      <c r="E88" t="s">
        <v>25</v>
      </c>
      <c r="F88">
        <v>18</v>
      </c>
      <c r="G88" s="3">
        <v>405.8205966215902</v>
      </c>
      <c r="H88">
        <v>171097</v>
      </c>
      <c r="I88" t="s">
        <v>79</v>
      </c>
      <c r="J88" t="str">
        <f>VLOOKUP(I88, 'State-Regions'!A:B, 2, FALSE)</f>
        <v>Midwest</v>
      </c>
      <c r="K88" s="3">
        <f t="shared" si="1"/>
        <v>7304.7707391886233</v>
      </c>
      <c r="L88" t="s">
        <v>105</v>
      </c>
      <c r="M88" s="3">
        <v>405.8205966215902</v>
      </c>
    </row>
    <row r="89" spans="1:13" x14ac:dyDescent="0.25">
      <c r="A89">
        <v>1087</v>
      </c>
      <c r="B89" s="5">
        <v>44349.60324074074</v>
      </c>
      <c r="C89">
        <v>14578</v>
      </c>
      <c r="D89" t="s">
        <v>61</v>
      </c>
      <c r="E89" t="s">
        <v>31</v>
      </c>
      <c r="F89">
        <v>13</v>
      </c>
      <c r="G89" s="3">
        <v>237.92266050776681</v>
      </c>
      <c r="H89">
        <v>187122</v>
      </c>
      <c r="I89" t="s">
        <v>80</v>
      </c>
      <c r="J89" t="str">
        <f>VLOOKUP(I89, 'State-Regions'!A:B, 2, FALSE)</f>
        <v>Northeast</v>
      </c>
      <c r="K89" s="3">
        <f t="shared" si="1"/>
        <v>3092.9945866009684</v>
      </c>
      <c r="L89" t="s">
        <v>105</v>
      </c>
      <c r="M89" s="3">
        <v>237.92266050776681</v>
      </c>
    </row>
    <row r="90" spans="1:13" x14ac:dyDescent="0.25">
      <c r="A90">
        <v>1088</v>
      </c>
      <c r="B90" s="5">
        <v>44465.473692129628</v>
      </c>
      <c r="C90">
        <v>19287</v>
      </c>
      <c r="D90" t="s">
        <v>104</v>
      </c>
      <c r="E90" t="s">
        <v>25</v>
      </c>
      <c r="F90">
        <v>13</v>
      </c>
      <c r="G90" s="3">
        <v>350.02621213167362</v>
      </c>
      <c r="H90">
        <v>135572</v>
      </c>
      <c r="I90" t="s">
        <v>70</v>
      </c>
      <c r="J90" t="str">
        <f>VLOOKUP(I90, 'State-Regions'!A:B, 2, FALSE)</f>
        <v>West</v>
      </c>
      <c r="K90" s="3">
        <f t="shared" si="1"/>
        <v>4550.3407577117569</v>
      </c>
      <c r="L90" t="s">
        <v>105</v>
      </c>
      <c r="M90" s="3">
        <v>350.02621213167362</v>
      </c>
    </row>
    <row r="91" spans="1:13" x14ac:dyDescent="0.25">
      <c r="A91">
        <v>1089</v>
      </c>
      <c r="B91" s="5">
        <v>44317.74019675926</v>
      </c>
      <c r="C91">
        <v>15832</v>
      </c>
      <c r="D91" t="s">
        <v>36</v>
      </c>
      <c r="E91" t="s">
        <v>25</v>
      </c>
      <c r="F91">
        <v>4</v>
      </c>
      <c r="G91" s="3">
        <v>28.869442415218771</v>
      </c>
      <c r="H91">
        <v>190423</v>
      </c>
      <c r="I91" t="s">
        <v>79</v>
      </c>
      <c r="J91" t="str">
        <f>VLOOKUP(I91, 'State-Regions'!A:B, 2, FALSE)</f>
        <v>Midwest</v>
      </c>
      <c r="K91" s="3">
        <f t="shared" si="1"/>
        <v>115.47776966087508</v>
      </c>
      <c r="L91" t="s">
        <v>105</v>
      </c>
      <c r="M91" s="3">
        <v>28.869442415218771</v>
      </c>
    </row>
    <row r="92" spans="1:13" x14ac:dyDescent="0.25">
      <c r="A92">
        <v>1090</v>
      </c>
      <c r="B92" s="5">
        <v>44219.66747685185</v>
      </c>
      <c r="C92">
        <v>15003</v>
      </c>
      <c r="D92" t="s">
        <v>44</v>
      </c>
      <c r="E92" t="s">
        <v>12</v>
      </c>
      <c r="F92">
        <v>10</v>
      </c>
      <c r="G92" s="3">
        <v>211.33049317271119</v>
      </c>
      <c r="H92">
        <v>119163</v>
      </c>
      <c r="I92" t="s">
        <v>62</v>
      </c>
      <c r="J92" t="str">
        <f>VLOOKUP(I92, 'State-Regions'!A:B, 2, FALSE)</f>
        <v>South</v>
      </c>
      <c r="K92" s="3">
        <f t="shared" si="1"/>
        <v>2113.304931727112</v>
      </c>
      <c r="L92" t="s">
        <v>105</v>
      </c>
      <c r="M92" s="3">
        <v>211.33049317271119</v>
      </c>
    </row>
    <row r="93" spans="1:13" x14ac:dyDescent="0.25">
      <c r="A93">
        <v>1091</v>
      </c>
      <c r="B93" s="5">
        <v>44461.846006944441</v>
      </c>
      <c r="C93">
        <v>11027</v>
      </c>
      <c r="D93" t="s">
        <v>16</v>
      </c>
      <c r="E93" t="s">
        <v>25</v>
      </c>
      <c r="F93">
        <v>11</v>
      </c>
      <c r="G93" s="3">
        <v>368.23798613502157</v>
      </c>
      <c r="H93">
        <v>107712</v>
      </c>
      <c r="I93" t="s">
        <v>66</v>
      </c>
      <c r="J93" t="str">
        <f>VLOOKUP(I93, 'State-Regions'!A:B, 2, FALSE)</f>
        <v>Northeast</v>
      </c>
      <c r="K93" s="3">
        <f t="shared" si="1"/>
        <v>4050.6178474852372</v>
      </c>
      <c r="L93" t="s">
        <v>105</v>
      </c>
      <c r="M93" s="3">
        <v>368.23798613502157</v>
      </c>
    </row>
    <row r="94" spans="1:13" x14ac:dyDescent="0.25">
      <c r="A94">
        <v>1092</v>
      </c>
      <c r="B94" s="5">
        <v>44248.957141203697</v>
      </c>
      <c r="C94">
        <v>12934</v>
      </c>
      <c r="D94" t="s">
        <v>43</v>
      </c>
      <c r="E94" t="s">
        <v>25</v>
      </c>
      <c r="F94">
        <v>10</v>
      </c>
      <c r="G94" s="3">
        <f>AVERAGE(M:M)</f>
        <v>262.93599539610597</v>
      </c>
      <c r="H94">
        <v>123380</v>
      </c>
      <c r="I94" t="s">
        <v>39</v>
      </c>
      <c r="J94" t="str">
        <f>VLOOKUP(I94, 'State-Regions'!A:B, 2, FALSE)</f>
        <v>Midwest</v>
      </c>
      <c r="K94" s="3">
        <f t="shared" si="1"/>
        <v>2629.3599539610595</v>
      </c>
      <c r="L94" t="s">
        <v>105</v>
      </c>
    </row>
    <row r="95" spans="1:13" x14ac:dyDescent="0.25">
      <c r="A95">
        <v>1093</v>
      </c>
      <c r="B95" s="5">
        <v>44413.560879629629</v>
      </c>
      <c r="C95">
        <v>17120</v>
      </c>
      <c r="D95" t="s">
        <v>30</v>
      </c>
      <c r="E95" t="s">
        <v>14</v>
      </c>
      <c r="F95">
        <v>13</v>
      </c>
      <c r="G95" s="3">
        <v>118.2903833633914</v>
      </c>
      <c r="H95">
        <v>119621</v>
      </c>
      <c r="I95" t="s">
        <v>79</v>
      </c>
      <c r="J95" t="str">
        <f>VLOOKUP(I95, 'State-Regions'!A:B, 2, FALSE)</f>
        <v>Midwest</v>
      </c>
      <c r="K95" s="3">
        <f t="shared" si="1"/>
        <v>1537.7749837240881</v>
      </c>
      <c r="L95" t="s">
        <v>105</v>
      </c>
      <c r="M95" s="3">
        <v>118.2903833633914</v>
      </c>
    </row>
    <row r="96" spans="1:13" x14ac:dyDescent="0.25">
      <c r="A96">
        <v>1094</v>
      </c>
      <c r="B96" s="5">
        <v>44513.984305555547</v>
      </c>
      <c r="C96">
        <v>18533</v>
      </c>
      <c r="D96" t="s">
        <v>61</v>
      </c>
      <c r="E96" t="s">
        <v>31</v>
      </c>
      <c r="F96">
        <v>19</v>
      </c>
      <c r="G96" s="3">
        <v>138.38708762800081</v>
      </c>
      <c r="H96">
        <v>188565</v>
      </c>
      <c r="I96" t="s">
        <v>15</v>
      </c>
      <c r="J96" t="str">
        <f>VLOOKUP(I96, 'State-Regions'!A:B, 2, FALSE)</f>
        <v>Midwest</v>
      </c>
      <c r="K96" s="3">
        <f t="shared" si="1"/>
        <v>2629.3546649320156</v>
      </c>
      <c r="L96" t="s">
        <v>105</v>
      </c>
      <c r="M96" s="3">
        <v>138.38708762800081</v>
      </c>
    </row>
    <row r="97" spans="1:13" x14ac:dyDescent="0.25">
      <c r="A97">
        <v>1095</v>
      </c>
      <c r="B97" s="5">
        <v>44384.552789351852</v>
      </c>
      <c r="C97">
        <v>12015</v>
      </c>
      <c r="D97" t="s">
        <v>40</v>
      </c>
      <c r="E97" t="s">
        <v>12</v>
      </c>
      <c r="F97">
        <v>13</v>
      </c>
      <c r="G97" s="3">
        <v>331.03349846381542</v>
      </c>
      <c r="H97">
        <v>113889</v>
      </c>
      <c r="I97" t="s">
        <v>80</v>
      </c>
      <c r="J97" t="str">
        <f>VLOOKUP(I97, 'State-Regions'!A:B, 2, FALSE)</f>
        <v>Northeast</v>
      </c>
      <c r="K97" s="3">
        <f t="shared" si="1"/>
        <v>4303.4354800296005</v>
      </c>
      <c r="L97" t="s">
        <v>105</v>
      </c>
      <c r="M97" s="3">
        <v>331.03349846381542</v>
      </c>
    </row>
    <row r="98" spans="1:13" x14ac:dyDescent="0.25">
      <c r="A98">
        <v>1096</v>
      </c>
      <c r="B98" s="5">
        <v>44415.967835648153</v>
      </c>
      <c r="C98">
        <v>19240</v>
      </c>
      <c r="D98" t="s">
        <v>59</v>
      </c>
      <c r="E98" t="s">
        <v>31</v>
      </c>
      <c r="F98">
        <v>7</v>
      </c>
      <c r="G98" s="3">
        <v>111.41929358049789</v>
      </c>
      <c r="H98">
        <v>163230</v>
      </c>
      <c r="I98" t="s">
        <v>75</v>
      </c>
      <c r="J98" t="str">
        <f>VLOOKUP(I98, 'State-Regions'!A:B, 2, FALSE)</f>
        <v>Midwest</v>
      </c>
      <c r="K98" s="3">
        <f t="shared" si="1"/>
        <v>779.93505506348527</v>
      </c>
      <c r="L98" t="s">
        <v>105</v>
      </c>
      <c r="M98" s="3">
        <v>111.41929358049789</v>
      </c>
    </row>
    <row r="99" spans="1:13" x14ac:dyDescent="0.25">
      <c r="A99">
        <v>1097</v>
      </c>
      <c r="B99" s="5">
        <v>44389.982858796298</v>
      </c>
      <c r="C99">
        <v>15311</v>
      </c>
      <c r="D99" t="s">
        <v>61</v>
      </c>
      <c r="E99" t="s">
        <v>31</v>
      </c>
      <c r="F99">
        <v>10</v>
      </c>
      <c r="G99" s="3">
        <v>182.95643268042619</v>
      </c>
      <c r="H99">
        <v>146246</v>
      </c>
      <c r="I99" t="s">
        <v>21</v>
      </c>
      <c r="J99" t="str">
        <f>VLOOKUP(I99, 'State-Regions'!A:B, 2, FALSE)</f>
        <v>Northeast</v>
      </c>
      <c r="K99" s="3">
        <f t="shared" si="1"/>
        <v>1829.5643268042618</v>
      </c>
      <c r="L99" t="s">
        <v>105</v>
      </c>
      <c r="M99" s="3">
        <v>182.95643268042619</v>
      </c>
    </row>
    <row r="100" spans="1:13" x14ac:dyDescent="0.25">
      <c r="A100">
        <v>1098</v>
      </c>
      <c r="B100" s="5">
        <v>44305.097326388888</v>
      </c>
      <c r="C100">
        <v>14601</v>
      </c>
      <c r="D100" t="s">
        <v>43</v>
      </c>
      <c r="E100" t="s">
        <v>12</v>
      </c>
      <c r="F100">
        <v>14</v>
      </c>
      <c r="G100" s="3">
        <v>332.07069478490388</v>
      </c>
      <c r="H100">
        <v>147117</v>
      </c>
      <c r="I100" t="s">
        <v>62</v>
      </c>
      <c r="J100" t="str">
        <f>VLOOKUP(I100, 'State-Regions'!A:B, 2, FALSE)</f>
        <v>South</v>
      </c>
      <c r="K100" s="3">
        <f t="shared" si="1"/>
        <v>4648.9897269886542</v>
      </c>
      <c r="L100" t="s">
        <v>105</v>
      </c>
      <c r="M100" s="3">
        <v>332.07069478490388</v>
      </c>
    </row>
    <row r="101" spans="1:13" x14ac:dyDescent="0.25">
      <c r="A101">
        <v>1099</v>
      </c>
      <c r="B101" s="5">
        <v>44394.997870370367</v>
      </c>
      <c r="C101">
        <v>17803</v>
      </c>
      <c r="D101" t="s">
        <v>11</v>
      </c>
      <c r="E101" t="s">
        <v>25</v>
      </c>
      <c r="F101">
        <v>15</v>
      </c>
      <c r="G101" s="3">
        <v>98.799161034948867</v>
      </c>
      <c r="H101">
        <v>188534</v>
      </c>
      <c r="I101" t="s">
        <v>68</v>
      </c>
      <c r="J101" t="str">
        <f>VLOOKUP(I101, 'State-Regions'!A:B, 2, FALSE)</f>
        <v>Northeast</v>
      </c>
      <c r="K101" s="3">
        <f t="shared" si="1"/>
        <v>1481.987415524233</v>
      </c>
      <c r="L101" t="s">
        <v>105</v>
      </c>
      <c r="M101" s="3">
        <v>98.799161034948867</v>
      </c>
    </row>
    <row r="102" spans="1:13" x14ac:dyDescent="0.25">
      <c r="A102">
        <v>1100</v>
      </c>
      <c r="B102" s="5">
        <v>44460.725902777784</v>
      </c>
      <c r="C102">
        <v>18584</v>
      </c>
      <c r="D102" t="s">
        <v>34</v>
      </c>
      <c r="E102" t="s">
        <v>31</v>
      </c>
      <c r="F102">
        <v>6</v>
      </c>
      <c r="G102" s="3">
        <v>241.5107092027622</v>
      </c>
      <c r="H102">
        <v>189975</v>
      </c>
      <c r="I102" t="s">
        <v>48</v>
      </c>
      <c r="J102" t="str">
        <f>VLOOKUP(I102, 'State-Regions'!A:B, 2, FALSE)</f>
        <v>West</v>
      </c>
      <c r="K102" s="3">
        <f t="shared" si="1"/>
        <v>1449.0642552165732</v>
      </c>
      <c r="L102" t="s">
        <v>105</v>
      </c>
      <c r="M102" s="3">
        <v>241.5107092027622</v>
      </c>
    </row>
    <row r="103" spans="1:13" x14ac:dyDescent="0.25">
      <c r="A103">
        <v>1101</v>
      </c>
      <c r="B103" s="5">
        <v>44357.551354166673</v>
      </c>
      <c r="C103">
        <v>19041</v>
      </c>
      <c r="D103" t="s">
        <v>43</v>
      </c>
      <c r="E103" t="s">
        <v>14</v>
      </c>
      <c r="F103">
        <v>14</v>
      </c>
      <c r="G103" s="3">
        <v>351.6332680810832</v>
      </c>
      <c r="H103">
        <v>137701</v>
      </c>
      <c r="I103" t="s">
        <v>57</v>
      </c>
      <c r="J103" t="str">
        <f>VLOOKUP(I103, 'State-Regions'!A:B, 2, FALSE)</f>
        <v>South</v>
      </c>
      <c r="K103" s="3">
        <f t="shared" si="1"/>
        <v>4922.8657531351646</v>
      </c>
      <c r="L103" t="s">
        <v>105</v>
      </c>
      <c r="M103" s="3">
        <v>351.6332680810832</v>
      </c>
    </row>
    <row r="104" spans="1:13" x14ac:dyDescent="0.25">
      <c r="A104">
        <v>1102</v>
      </c>
      <c r="B104" s="5">
        <v>44211.806122685193</v>
      </c>
      <c r="C104">
        <v>19254</v>
      </c>
      <c r="D104" t="s">
        <v>30</v>
      </c>
      <c r="E104" t="s">
        <v>31</v>
      </c>
      <c r="F104">
        <v>18</v>
      </c>
      <c r="G104" s="3">
        <v>203.4248594462716</v>
      </c>
      <c r="H104">
        <v>164993</v>
      </c>
      <c r="I104" t="s">
        <v>26</v>
      </c>
      <c r="J104" t="str">
        <f>VLOOKUP(I104, 'State-Regions'!A:B, 2, FALSE)</f>
        <v>West</v>
      </c>
      <c r="K104" s="3">
        <f t="shared" si="1"/>
        <v>3661.6474700328886</v>
      </c>
      <c r="L104" t="s">
        <v>105</v>
      </c>
      <c r="M104" s="3">
        <v>203.4248594462716</v>
      </c>
    </row>
    <row r="105" spans="1:13" x14ac:dyDescent="0.25">
      <c r="A105">
        <v>1103</v>
      </c>
      <c r="B105" s="5">
        <v>44278.754861111112</v>
      </c>
      <c r="C105">
        <v>17932</v>
      </c>
      <c r="D105" t="s">
        <v>40</v>
      </c>
      <c r="E105" t="s">
        <v>12</v>
      </c>
      <c r="F105">
        <v>12</v>
      </c>
      <c r="G105" s="3">
        <v>79.688305795068359</v>
      </c>
      <c r="H105">
        <v>171337</v>
      </c>
      <c r="I105" t="s">
        <v>63</v>
      </c>
      <c r="J105" t="str">
        <f>VLOOKUP(I105, 'State-Regions'!A:B, 2, FALSE)</f>
        <v>Midwest</v>
      </c>
      <c r="K105" s="3">
        <f t="shared" si="1"/>
        <v>956.25966954082037</v>
      </c>
      <c r="L105" t="s">
        <v>105</v>
      </c>
      <c r="M105" s="3">
        <v>79.688305795068359</v>
      </c>
    </row>
    <row r="106" spans="1:13" x14ac:dyDescent="0.25">
      <c r="A106">
        <v>1104</v>
      </c>
      <c r="B106" s="5">
        <v>44385.218113425923</v>
      </c>
      <c r="C106">
        <v>11699</v>
      </c>
      <c r="D106" t="s">
        <v>30</v>
      </c>
      <c r="E106" t="s">
        <v>25</v>
      </c>
      <c r="F106">
        <v>2</v>
      </c>
      <c r="G106" s="3">
        <v>451.77369131786048</v>
      </c>
      <c r="H106">
        <v>162213</v>
      </c>
      <c r="I106" t="s">
        <v>62</v>
      </c>
      <c r="J106" t="str">
        <f>VLOOKUP(I106, 'State-Regions'!A:B, 2, FALSE)</f>
        <v>South</v>
      </c>
      <c r="K106" s="3">
        <f t="shared" si="1"/>
        <v>903.54738263572096</v>
      </c>
      <c r="L106" t="s">
        <v>105</v>
      </c>
      <c r="M106" s="3">
        <v>451.77369131786048</v>
      </c>
    </row>
    <row r="107" spans="1:13" x14ac:dyDescent="0.25">
      <c r="A107">
        <v>1105</v>
      </c>
      <c r="B107" s="5">
        <v>44264.228576388887</v>
      </c>
      <c r="C107">
        <v>14851</v>
      </c>
      <c r="D107" t="s">
        <v>38</v>
      </c>
      <c r="E107" t="s">
        <v>25</v>
      </c>
      <c r="F107">
        <v>5</v>
      </c>
      <c r="G107" s="3">
        <v>45.542481770681761</v>
      </c>
      <c r="H107">
        <v>175140</v>
      </c>
      <c r="I107" t="s">
        <v>29</v>
      </c>
      <c r="J107" t="str">
        <f>VLOOKUP(I107, 'State-Regions'!A:B, 2, FALSE)</f>
        <v>South</v>
      </c>
      <c r="K107" s="3">
        <f t="shared" si="1"/>
        <v>227.71240885340882</v>
      </c>
      <c r="L107" t="s">
        <v>105</v>
      </c>
      <c r="M107" s="3">
        <v>45.542481770681761</v>
      </c>
    </row>
    <row r="108" spans="1:13" x14ac:dyDescent="0.25">
      <c r="A108">
        <v>1106</v>
      </c>
      <c r="B108" s="5">
        <v>44545.552881944437</v>
      </c>
      <c r="C108">
        <v>16579</v>
      </c>
      <c r="D108" t="s">
        <v>11</v>
      </c>
      <c r="E108" t="s">
        <v>25</v>
      </c>
      <c r="F108">
        <v>13</v>
      </c>
      <c r="G108" s="3">
        <v>352.33783728125991</v>
      </c>
      <c r="H108">
        <v>198288</v>
      </c>
      <c r="I108" t="s">
        <v>81</v>
      </c>
      <c r="J108" t="str">
        <f>VLOOKUP(I108, 'State-Regions'!A:B, 2, FALSE)</f>
        <v>South</v>
      </c>
      <c r="K108" s="3">
        <f t="shared" si="1"/>
        <v>4580.3918846563793</v>
      </c>
      <c r="L108" t="s">
        <v>105</v>
      </c>
      <c r="M108" s="3">
        <v>352.33783728125991</v>
      </c>
    </row>
    <row r="109" spans="1:13" x14ac:dyDescent="0.25">
      <c r="A109">
        <v>1107</v>
      </c>
      <c r="B109" s="5">
        <v>44469.108981481477</v>
      </c>
      <c r="C109">
        <v>11695</v>
      </c>
      <c r="D109" t="s">
        <v>36</v>
      </c>
      <c r="E109" t="s">
        <v>31</v>
      </c>
      <c r="F109">
        <v>4</v>
      </c>
      <c r="G109" s="3">
        <v>250.3406569811053</v>
      </c>
      <c r="H109">
        <v>107034</v>
      </c>
      <c r="I109" t="s">
        <v>48</v>
      </c>
      <c r="J109" t="str">
        <f>VLOOKUP(I109, 'State-Regions'!A:B, 2, FALSE)</f>
        <v>West</v>
      </c>
      <c r="K109" s="3">
        <f t="shared" si="1"/>
        <v>1001.3626279244212</v>
      </c>
      <c r="L109" t="s">
        <v>105</v>
      </c>
      <c r="M109" s="3">
        <v>250.3406569811053</v>
      </c>
    </row>
    <row r="110" spans="1:13" x14ac:dyDescent="0.25">
      <c r="A110">
        <v>1108</v>
      </c>
      <c r="B110" s="5">
        <v>44475.103414351863</v>
      </c>
      <c r="C110">
        <v>19724</v>
      </c>
      <c r="D110" t="s">
        <v>24</v>
      </c>
      <c r="E110" t="s">
        <v>12</v>
      </c>
      <c r="F110">
        <v>1</v>
      </c>
      <c r="G110" s="3">
        <v>429.02650399149991</v>
      </c>
      <c r="H110">
        <v>101075</v>
      </c>
      <c r="I110" t="s">
        <v>70</v>
      </c>
      <c r="J110" t="str">
        <f>VLOOKUP(I110, 'State-Regions'!A:B, 2, FALSE)</f>
        <v>West</v>
      </c>
      <c r="K110" s="3">
        <f t="shared" si="1"/>
        <v>429.02650399149991</v>
      </c>
      <c r="L110" t="s">
        <v>105</v>
      </c>
      <c r="M110" s="3">
        <v>429.02650399149991</v>
      </c>
    </row>
    <row r="111" spans="1:13" x14ac:dyDescent="0.25">
      <c r="A111">
        <v>1109</v>
      </c>
      <c r="B111" s="5">
        <v>44238.813460648147</v>
      </c>
      <c r="C111">
        <v>15582</v>
      </c>
      <c r="D111" t="s">
        <v>34</v>
      </c>
      <c r="E111" t="s">
        <v>25</v>
      </c>
      <c r="F111">
        <v>10</v>
      </c>
      <c r="G111" s="3">
        <v>24.532267831845459</v>
      </c>
      <c r="H111">
        <v>134406</v>
      </c>
      <c r="I111" t="s">
        <v>77</v>
      </c>
      <c r="J111" t="str">
        <f>VLOOKUP(I111, 'State-Regions'!A:B, 2, FALSE)</f>
        <v>South</v>
      </c>
      <c r="K111" s="3">
        <f t="shared" si="1"/>
        <v>245.32267831845459</v>
      </c>
      <c r="L111" t="s">
        <v>105</v>
      </c>
      <c r="M111" s="3">
        <v>24.532267831845459</v>
      </c>
    </row>
    <row r="112" spans="1:13" x14ac:dyDescent="0.25">
      <c r="A112">
        <v>1110</v>
      </c>
      <c r="B112" s="5">
        <v>44560.835081018522</v>
      </c>
      <c r="C112">
        <v>13778</v>
      </c>
      <c r="D112" t="s">
        <v>36</v>
      </c>
      <c r="E112" t="s">
        <v>25</v>
      </c>
      <c r="F112">
        <v>2</v>
      </c>
      <c r="G112" s="3">
        <v>207.02346856210551</v>
      </c>
      <c r="H112">
        <v>104993</v>
      </c>
      <c r="I112" t="s">
        <v>32</v>
      </c>
      <c r="J112" t="str">
        <f>VLOOKUP(I112, 'State-Regions'!A:B, 2, FALSE)</f>
        <v>Midwest</v>
      </c>
      <c r="K112" s="3">
        <f t="shared" si="1"/>
        <v>414.04693712421101</v>
      </c>
      <c r="L112" t="s">
        <v>105</v>
      </c>
      <c r="M112" s="3">
        <v>207.02346856210551</v>
      </c>
    </row>
    <row r="113" spans="1:13" x14ac:dyDescent="0.25">
      <c r="A113">
        <v>1111</v>
      </c>
      <c r="B113" s="5">
        <v>44402.595127314817</v>
      </c>
      <c r="C113">
        <v>19538</v>
      </c>
      <c r="D113" t="s">
        <v>22</v>
      </c>
      <c r="E113" t="s">
        <v>14</v>
      </c>
      <c r="F113">
        <v>12</v>
      </c>
      <c r="G113" s="3">
        <v>282.11723499405713</v>
      </c>
      <c r="H113">
        <v>106923</v>
      </c>
      <c r="I113" t="s">
        <v>67</v>
      </c>
      <c r="J113" t="str">
        <f>VLOOKUP(I113, 'State-Regions'!A:B, 2, FALSE)</f>
        <v>West</v>
      </c>
      <c r="K113" s="3">
        <f t="shared" si="1"/>
        <v>3385.4068199286858</v>
      </c>
      <c r="L113" t="s">
        <v>105</v>
      </c>
      <c r="M113" s="3">
        <v>282.11723499405713</v>
      </c>
    </row>
    <row r="114" spans="1:13" x14ac:dyDescent="0.25">
      <c r="A114">
        <v>1112</v>
      </c>
      <c r="B114" s="5">
        <v>44230.136481481481</v>
      </c>
      <c r="C114">
        <v>11396</v>
      </c>
      <c r="D114" t="s">
        <v>52</v>
      </c>
      <c r="E114" t="s">
        <v>31</v>
      </c>
      <c r="F114">
        <v>18</v>
      </c>
      <c r="G114" s="3">
        <v>227.4374039327522</v>
      </c>
      <c r="H114">
        <v>162386</v>
      </c>
      <c r="I114" t="s">
        <v>78</v>
      </c>
      <c r="J114" t="str">
        <f>VLOOKUP(I114, 'State-Regions'!A:B, 2, FALSE)</f>
        <v>South</v>
      </c>
      <c r="K114" s="3">
        <f t="shared" si="1"/>
        <v>4093.8732707895397</v>
      </c>
      <c r="L114" t="s">
        <v>105</v>
      </c>
      <c r="M114" s="3">
        <v>227.4374039327522</v>
      </c>
    </row>
    <row r="115" spans="1:13" x14ac:dyDescent="0.25">
      <c r="A115">
        <v>1113</v>
      </c>
      <c r="B115" s="5">
        <v>44207.274907407409</v>
      </c>
      <c r="C115">
        <v>15563</v>
      </c>
      <c r="D115" t="s">
        <v>51</v>
      </c>
      <c r="E115" t="s">
        <v>12</v>
      </c>
      <c r="F115">
        <v>11</v>
      </c>
      <c r="G115" s="3">
        <v>408.25819009135438</v>
      </c>
      <c r="H115">
        <v>136472</v>
      </c>
      <c r="I115" t="s">
        <v>60</v>
      </c>
      <c r="J115" t="str">
        <f>VLOOKUP(I115, 'State-Regions'!A:B, 2, FALSE)</f>
        <v>South</v>
      </c>
      <c r="K115" s="3">
        <f t="shared" si="1"/>
        <v>4490.8400910048986</v>
      </c>
      <c r="L115" t="s">
        <v>105</v>
      </c>
      <c r="M115" s="3">
        <v>408.25819009135438</v>
      </c>
    </row>
    <row r="116" spans="1:13" x14ac:dyDescent="0.25">
      <c r="A116">
        <v>1114</v>
      </c>
      <c r="B116" s="5">
        <v>44501.130601851852</v>
      </c>
      <c r="C116">
        <v>12152</v>
      </c>
      <c r="D116" t="s">
        <v>40</v>
      </c>
      <c r="E116" t="s">
        <v>12</v>
      </c>
      <c r="F116">
        <v>6</v>
      </c>
      <c r="G116" s="3">
        <v>348.3245330084178</v>
      </c>
      <c r="H116">
        <v>119795</v>
      </c>
      <c r="I116" t="s">
        <v>78</v>
      </c>
      <c r="J116" t="str">
        <f>VLOOKUP(I116, 'State-Regions'!A:B, 2, FALSE)</f>
        <v>South</v>
      </c>
      <c r="K116" s="3">
        <f t="shared" si="1"/>
        <v>2089.9471980505068</v>
      </c>
      <c r="L116" t="s">
        <v>105</v>
      </c>
      <c r="M116" s="3">
        <v>348.3245330084178</v>
      </c>
    </row>
    <row r="117" spans="1:13" x14ac:dyDescent="0.25">
      <c r="A117">
        <v>1115</v>
      </c>
      <c r="B117" s="5">
        <v>44429.738159722219</v>
      </c>
      <c r="C117">
        <v>14784</v>
      </c>
      <c r="D117" t="s">
        <v>59</v>
      </c>
      <c r="E117" t="s">
        <v>14</v>
      </c>
      <c r="F117">
        <v>10</v>
      </c>
      <c r="G117" s="3">
        <v>435.96267763620892</v>
      </c>
      <c r="H117">
        <v>118900</v>
      </c>
      <c r="I117" t="s">
        <v>13</v>
      </c>
      <c r="J117" t="str">
        <f>VLOOKUP(I117, 'State-Regions'!A:B, 2, FALSE)</f>
        <v>Midwest</v>
      </c>
      <c r="K117" s="3">
        <f t="shared" si="1"/>
        <v>4359.626776362089</v>
      </c>
      <c r="L117" t="s">
        <v>105</v>
      </c>
      <c r="M117" s="3">
        <v>435.96267763620892</v>
      </c>
    </row>
    <row r="118" spans="1:13" x14ac:dyDescent="0.25">
      <c r="A118">
        <v>1116</v>
      </c>
      <c r="B118" s="5">
        <v>44528.926828703698</v>
      </c>
      <c r="C118">
        <v>17003</v>
      </c>
      <c r="D118" t="s">
        <v>61</v>
      </c>
      <c r="E118" t="s">
        <v>31</v>
      </c>
      <c r="F118">
        <v>15</v>
      </c>
      <c r="G118" s="3">
        <v>152.02591451646271</v>
      </c>
      <c r="H118">
        <v>174575</v>
      </c>
      <c r="I118" t="s">
        <v>81</v>
      </c>
      <c r="J118" t="str">
        <f>VLOOKUP(I118, 'State-Regions'!A:B, 2, FALSE)</f>
        <v>South</v>
      </c>
      <c r="K118" s="3">
        <f t="shared" si="1"/>
        <v>2280.3887177469405</v>
      </c>
      <c r="L118" t="s">
        <v>105</v>
      </c>
      <c r="M118" s="3">
        <v>152.02591451646271</v>
      </c>
    </row>
    <row r="119" spans="1:13" x14ac:dyDescent="0.25">
      <c r="A119">
        <v>1117</v>
      </c>
      <c r="B119" s="5">
        <v>44355.733437499999</v>
      </c>
      <c r="C119">
        <v>19611</v>
      </c>
      <c r="D119" t="s">
        <v>59</v>
      </c>
      <c r="E119" t="s">
        <v>14</v>
      </c>
      <c r="F119">
        <v>12</v>
      </c>
      <c r="G119" s="3">
        <v>346.24833709669139</v>
      </c>
      <c r="H119">
        <v>151264</v>
      </c>
      <c r="I119" t="s">
        <v>82</v>
      </c>
      <c r="J119" t="str">
        <f>VLOOKUP(I119, 'State-Regions'!A:B, 2, FALSE)</f>
        <v>West</v>
      </c>
      <c r="K119" s="3">
        <f t="shared" si="1"/>
        <v>4154.9800451602969</v>
      </c>
      <c r="L119" t="s">
        <v>105</v>
      </c>
      <c r="M119" s="3">
        <v>346.24833709669139</v>
      </c>
    </row>
    <row r="120" spans="1:13" x14ac:dyDescent="0.25">
      <c r="A120">
        <v>1118</v>
      </c>
      <c r="B120" s="5">
        <v>44304.791400462957</v>
      </c>
      <c r="C120">
        <v>19875</v>
      </c>
      <c r="D120" t="s">
        <v>22</v>
      </c>
      <c r="E120" t="s">
        <v>31</v>
      </c>
      <c r="F120">
        <v>16</v>
      </c>
      <c r="G120" s="3">
        <v>85.118818267945514</v>
      </c>
      <c r="H120">
        <v>167583</v>
      </c>
      <c r="I120" t="s">
        <v>37</v>
      </c>
      <c r="J120" t="str">
        <f>VLOOKUP(I120, 'State-Regions'!A:B, 2, FALSE)</f>
        <v>Northeast</v>
      </c>
      <c r="K120" s="3">
        <f t="shared" si="1"/>
        <v>1361.9010922871282</v>
      </c>
      <c r="L120" t="s">
        <v>105</v>
      </c>
      <c r="M120" s="3">
        <v>85.118818267945514</v>
      </c>
    </row>
    <row r="121" spans="1:13" x14ac:dyDescent="0.25">
      <c r="A121">
        <v>1119</v>
      </c>
      <c r="B121" s="5">
        <v>44436.68414351852</v>
      </c>
      <c r="C121">
        <v>12994</v>
      </c>
      <c r="D121" t="s">
        <v>38</v>
      </c>
      <c r="E121" t="s">
        <v>12</v>
      </c>
      <c r="F121">
        <v>4</v>
      </c>
      <c r="G121" s="3">
        <v>490.28570910270861</v>
      </c>
      <c r="H121">
        <v>198541</v>
      </c>
      <c r="I121" t="s">
        <v>42</v>
      </c>
      <c r="J121" t="str">
        <f>VLOOKUP(I121, 'State-Regions'!A:B, 2, FALSE)</f>
        <v>West</v>
      </c>
      <c r="K121" s="3">
        <f t="shared" si="1"/>
        <v>1961.1428364108344</v>
      </c>
      <c r="L121" t="s">
        <v>105</v>
      </c>
      <c r="M121" s="3">
        <v>490.28570910270861</v>
      </c>
    </row>
    <row r="122" spans="1:13" x14ac:dyDescent="0.25">
      <c r="A122">
        <v>1120</v>
      </c>
      <c r="B122" s="5">
        <v>44455.833715277768</v>
      </c>
      <c r="C122">
        <v>18996</v>
      </c>
      <c r="D122" t="s">
        <v>40</v>
      </c>
      <c r="E122" t="s">
        <v>25</v>
      </c>
      <c r="F122">
        <v>11</v>
      </c>
      <c r="G122" s="3">
        <v>493.54255322036539</v>
      </c>
      <c r="H122">
        <v>144469</v>
      </c>
      <c r="I122" t="s">
        <v>35</v>
      </c>
      <c r="J122" t="str">
        <f>VLOOKUP(I122, 'State-Regions'!A:B, 2, FALSE)</f>
        <v>West</v>
      </c>
      <c r="K122" s="3">
        <f t="shared" si="1"/>
        <v>5428.9680854240196</v>
      </c>
      <c r="L122" t="s">
        <v>105</v>
      </c>
      <c r="M122" s="3">
        <v>493.54255322036539</v>
      </c>
    </row>
    <row r="123" spans="1:13" x14ac:dyDescent="0.25">
      <c r="A123">
        <v>1121</v>
      </c>
      <c r="B123" s="5">
        <v>44376.036898148152</v>
      </c>
      <c r="C123">
        <v>11899</v>
      </c>
      <c r="D123" t="s">
        <v>43</v>
      </c>
      <c r="E123" t="s">
        <v>12</v>
      </c>
      <c r="F123">
        <v>8</v>
      </c>
      <c r="G123" s="3">
        <v>124.5073152022422</v>
      </c>
      <c r="H123">
        <v>165830</v>
      </c>
      <c r="I123" t="s">
        <v>57</v>
      </c>
      <c r="J123" t="str">
        <f>VLOOKUP(I123, 'State-Regions'!A:B, 2, FALSE)</f>
        <v>South</v>
      </c>
      <c r="K123" s="3">
        <f t="shared" si="1"/>
        <v>996.05852161793757</v>
      </c>
      <c r="L123" t="s">
        <v>105</v>
      </c>
      <c r="M123" s="3">
        <v>124.5073152022422</v>
      </c>
    </row>
    <row r="124" spans="1:13" x14ac:dyDescent="0.25">
      <c r="A124">
        <v>1122</v>
      </c>
      <c r="B124" s="5">
        <v>44527.645925925928</v>
      </c>
      <c r="C124">
        <v>10367</v>
      </c>
      <c r="D124" t="s">
        <v>44</v>
      </c>
      <c r="E124" t="s">
        <v>12</v>
      </c>
      <c r="F124">
        <v>15</v>
      </c>
      <c r="G124" s="3">
        <v>228.32349060959649</v>
      </c>
      <c r="H124">
        <v>108536</v>
      </c>
      <c r="I124" t="s">
        <v>81</v>
      </c>
      <c r="J124" t="str">
        <f>VLOOKUP(I124, 'State-Regions'!A:B, 2, FALSE)</f>
        <v>South</v>
      </c>
      <c r="K124" s="3">
        <f t="shared" si="1"/>
        <v>3424.8523591439475</v>
      </c>
      <c r="L124" t="s">
        <v>105</v>
      </c>
      <c r="M124" s="3">
        <v>228.32349060959649</v>
      </c>
    </row>
    <row r="125" spans="1:13" x14ac:dyDescent="0.25">
      <c r="A125">
        <v>1123</v>
      </c>
      <c r="B125" s="5">
        <v>44428.161944444437</v>
      </c>
      <c r="C125">
        <v>19428</v>
      </c>
      <c r="D125" t="s">
        <v>43</v>
      </c>
      <c r="E125" t="s">
        <v>25</v>
      </c>
      <c r="F125">
        <v>17</v>
      </c>
      <c r="G125" s="3">
        <v>197.10546925501501</v>
      </c>
      <c r="H125">
        <v>115257</v>
      </c>
      <c r="I125" t="s">
        <v>15</v>
      </c>
      <c r="J125" t="str">
        <f>VLOOKUP(I125, 'State-Regions'!A:B, 2, FALSE)</f>
        <v>Midwest</v>
      </c>
      <c r="K125" s="3">
        <f t="shared" si="1"/>
        <v>3350.7929773352553</v>
      </c>
      <c r="L125" t="s">
        <v>105</v>
      </c>
      <c r="M125" s="3">
        <v>197.10546925501501</v>
      </c>
    </row>
    <row r="126" spans="1:13" x14ac:dyDescent="0.25">
      <c r="A126">
        <v>1124</v>
      </c>
      <c r="B126" s="5">
        <v>44291.384594907409</v>
      </c>
      <c r="C126">
        <v>11396</v>
      </c>
      <c r="D126" t="s">
        <v>40</v>
      </c>
      <c r="E126" t="s">
        <v>12</v>
      </c>
      <c r="F126">
        <v>4</v>
      </c>
      <c r="G126" s="3">
        <v>159.59903745783049</v>
      </c>
      <c r="H126">
        <v>113418</v>
      </c>
      <c r="I126" t="s">
        <v>37</v>
      </c>
      <c r="J126" t="str">
        <f>VLOOKUP(I126, 'State-Regions'!A:B, 2, FALSE)</f>
        <v>Northeast</v>
      </c>
      <c r="K126" s="3">
        <f t="shared" si="1"/>
        <v>638.39614983132196</v>
      </c>
      <c r="L126" t="s">
        <v>105</v>
      </c>
      <c r="M126" s="3">
        <v>159.59903745783049</v>
      </c>
    </row>
    <row r="127" spans="1:13" x14ac:dyDescent="0.25">
      <c r="A127">
        <v>1125</v>
      </c>
      <c r="B127" s="5">
        <v>44528.931273148148</v>
      </c>
      <c r="C127">
        <v>13872</v>
      </c>
      <c r="D127" t="s">
        <v>22</v>
      </c>
      <c r="E127" t="s">
        <v>25</v>
      </c>
      <c r="F127">
        <v>11</v>
      </c>
      <c r="G127" s="3">
        <v>463.73543984157141</v>
      </c>
      <c r="H127">
        <v>197395</v>
      </c>
      <c r="I127" t="s">
        <v>60</v>
      </c>
      <c r="J127" t="str">
        <f>VLOOKUP(I127, 'State-Regions'!A:B, 2, FALSE)</f>
        <v>South</v>
      </c>
      <c r="K127" s="3">
        <f t="shared" si="1"/>
        <v>5101.089838257285</v>
      </c>
      <c r="L127" t="s">
        <v>105</v>
      </c>
      <c r="M127" s="3">
        <v>463.73543984157141</v>
      </c>
    </row>
    <row r="128" spans="1:13" x14ac:dyDescent="0.25">
      <c r="A128">
        <v>1126</v>
      </c>
      <c r="B128" s="5">
        <v>44504.397905092592</v>
      </c>
      <c r="C128">
        <v>11771</v>
      </c>
      <c r="D128" t="s">
        <v>27</v>
      </c>
      <c r="E128" t="s">
        <v>31</v>
      </c>
      <c r="F128">
        <v>13</v>
      </c>
      <c r="G128" s="3">
        <v>381.15620287234168</v>
      </c>
      <c r="H128">
        <v>171630</v>
      </c>
      <c r="I128" t="s">
        <v>41</v>
      </c>
      <c r="J128" t="str">
        <f>VLOOKUP(I128, 'State-Regions'!A:B, 2, FALSE)</f>
        <v>Midwest</v>
      </c>
      <c r="K128" s="3">
        <f t="shared" si="1"/>
        <v>4955.0306373404419</v>
      </c>
      <c r="L128" t="s">
        <v>105</v>
      </c>
      <c r="M128" s="3">
        <v>381.15620287234168</v>
      </c>
    </row>
    <row r="129" spans="1:13" x14ac:dyDescent="0.25">
      <c r="A129">
        <v>1127</v>
      </c>
      <c r="B129" s="5">
        <v>44253.877314814818</v>
      </c>
      <c r="C129">
        <v>17196</v>
      </c>
      <c r="D129" t="s">
        <v>40</v>
      </c>
      <c r="E129" t="s">
        <v>12</v>
      </c>
      <c r="F129">
        <v>7</v>
      </c>
      <c r="G129" s="3">
        <v>382.19708388781851</v>
      </c>
      <c r="H129">
        <v>143874</v>
      </c>
      <c r="I129" t="s">
        <v>56</v>
      </c>
      <c r="J129" t="str">
        <f>VLOOKUP(I129, 'State-Regions'!A:B, 2, FALSE)</f>
        <v>West</v>
      </c>
      <c r="K129" s="3">
        <f t="shared" si="1"/>
        <v>2675.3795872147293</v>
      </c>
      <c r="L129" t="s">
        <v>105</v>
      </c>
      <c r="M129" s="3">
        <v>382.19708388781851</v>
      </c>
    </row>
    <row r="130" spans="1:13" x14ac:dyDescent="0.25">
      <c r="A130">
        <v>1128</v>
      </c>
      <c r="B130" s="5">
        <v>44199.219201388893</v>
      </c>
      <c r="C130">
        <v>15561</v>
      </c>
      <c r="D130" t="s">
        <v>22</v>
      </c>
      <c r="E130" t="s">
        <v>14</v>
      </c>
      <c r="F130">
        <v>18</v>
      </c>
      <c r="G130" s="3">
        <v>462.64642227668787</v>
      </c>
      <c r="H130">
        <v>143933</v>
      </c>
      <c r="I130" t="s">
        <v>83</v>
      </c>
      <c r="J130" t="str">
        <f>VLOOKUP(I130, 'State-Regions'!A:B, 2, FALSE)</f>
        <v>Northeast</v>
      </c>
      <c r="K130" s="3">
        <f t="shared" si="1"/>
        <v>8327.6356009803822</v>
      </c>
      <c r="L130" t="s">
        <v>105</v>
      </c>
      <c r="M130" s="3">
        <v>462.64642227668787</v>
      </c>
    </row>
    <row r="131" spans="1:13" x14ac:dyDescent="0.25">
      <c r="A131">
        <v>1129</v>
      </c>
      <c r="B131" s="5">
        <v>44542.786817129629</v>
      </c>
      <c r="C131">
        <v>16522</v>
      </c>
      <c r="D131" t="s">
        <v>18</v>
      </c>
      <c r="E131" t="s">
        <v>14</v>
      </c>
      <c r="F131">
        <v>16</v>
      </c>
      <c r="G131" s="3">
        <v>311.62650252743731</v>
      </c>
      <c r="H131">
        <v>187733</v>
      </c>
      <c r="I131" t="s">
        <v>54</v>
      </c>
      <c r="J131" t="str">
        <f>VLOOKUP(I131, 'State-Regions'!A:B, 2, FALSE)</f>
        <v>Midwest</v>
      </c>
      <c r="K131" s="3">
        <f t="shared" si="1"/>
        <v>4986.024040438997</v>
      </c>
      <c r="L131" t="s">
        <v>105</v>
      </c>
      <c r="M131" s="3">
        <v>311.62650252743731</v>
      </c>
    </row>
    <row r="132" spans="1:13" x14ac:dyDescent="0.25">
      <c r="A132">
        <v>1130</v>
      </c>
      <c r="B132" s="5">
        <v>44495.125856481478</v>
      </c>
      <c r="C132">
        <v>11201</v>
      </c>
      <c r="D132" t="s">
        <v>11</v>
      </c>
      <c r="E132" t="s">
        <v>31</v>
      </c>
      <c r="F132">
        <v>19</v>
      </c>
      <c r="G132" s="3">
        <v>45.691560963835222</v>
      </c>
      <c r="H132">
        <v>101368</v>
      </c>
      <c r="I132" t="s">
        <v>19</v>
      </c>
      <c r="J132" t="str">
        <f>VLOOKUP(I132, 'State-Regions'!A:B, 2, FALSE)</f>
        <v>South</v>
      </c>
      <c r="K132" s="3">
        <f t="shared" si="1"/>
        <v>868.13965831286919</v>
      </c>
      <c r="L132" t="s">
        <v>105</v>
      </c>
      <c r="M132" s="3">
        <v>45.691560963835222</v>
      </c>
    </row>
    <row r="133" spans="1:13" x14ac:dyDescent="0.25">
      <c r="A133">
        <v>1131</v>
      </c>
      <c r="B133" s="5">
        <v>44409.713819444441</v>
      </c>
      <c r="C133">
        <v>12858</v>
      </c>
      <c r="D133" t="s">
        <v>52</v>
      </c>
      <c r="E133" t="s">
        <v>31</v>
      </c>
      <c r="F133">
        <v>13</v>
      </c>
      <c r="G133" s="3">
        <v>101.24104914629309</v>
      </c>
      <c r="H133">
        <v>155480</v>
      </c>
      <c r="I133" t="s">
        <v>84</v>
      </c>
      <c r="J133" t="str">
        <f>VLOOKUP(I133, 'State-Regions'!A:B, 2, FALSE)</f>
        <v>Northeast</v>
      </c>
      <c r="K133" s="3">
        <f t="shared" ref="K133:K197" si="2">G133*F133</f>
        <v>1316.1336389018102</v>
      </c>
      <c r="L133" t="s">
        <v>105</v>
      </c>
      <c r="M133" s="3">
        <v>101.24104914629309</v>
      </c>
    </row>
    <row r="134" spans="1:13" x14ac:dyDescent="0.25">
      <c r="A134">
        <v>1132</v>
      </c>
      <c r="B134" s="5">
        <v>44288.563726851848</v>
      </c>
      <c r="C134">
        <v>17125</v>
      </c>
      <c r="D134" t="s">
        <v>38</v>
      </c>
      <c r="E134" t="s">
        <v>25</v>
      </c>
      <c r="F134">
        <v>3</v>
      </c>
      <c r="G134" s="3">
        <v>144.11171040134769</v>
      </c>
      <c r="H134">
        <v>190009</v>
      </c>
      <c r="I134" t="s">
        <v>37</v>
      </c>
      <c r="J134" t="str">
        <f>VLOOKUP(I134, 'State-Regions'!A:B, 2, FALSE)</f>
        <v>Northeast</v>
      </c>
      <c r="K134" s="3">
        <f t="shared" si="2"/>
        <v>432.33513120404308</v>
      </c>
      <c r="L134" t="s">
        <v>105</v>
      </c>
      <c r="M134" s="3">
        <v>144.11171040134769</v>
      </c>
    </row>
    <row r="135" spans="1:13" x14ac:dyDescent="0.25">
      <c r="A135">
        <v>1133</v>
      </c>
      <c r="B135" s="5">
        <v>44206.800023148149</v>
      </c>
      <c r="C135">
        <v>12740</v>
      </c>
      <c r="D135" t="s">
        <v>74</v>
      </c>
      <c r="E135" t="s">
        <v>31</v>
      </c>
      <c r="F135">
        <v>18</v>
      </c>
      <c r="G135" s="3">
        <v>99.053816338374475</v>
      </c>
      <c r="H135">
        <v>126878</v>
      </c>
      <c r="I135" t="s">
        <v>60</v>
      </c>
      <c r="J135" t="str">
        <f>VLOOKUP(I135, 'State-Regions'!A:B, 2, FALSE)</f>
        <v>South</v>
      </c>
      <c r="K135" s="3">
        <f t="shared" si="2"/>
        <v>1782.9686940907404</v>
      </c>
      <c r="L135" t="s">
        <v>105</v>
      </c>
      <c r="M135" s="3">
        <v>99.053816338374475</v>
      </c>
    </row>
    <row r="136" spans="1:13" x14ac:dyDescent="0.25">
      <c r="A136">
        <v>1134</v>
      </c>
      <c r="B136" s="5">
        <v>44351.760104166657</v>
      </c>
      <c r="C136">
        <v>17759</v>
      </c>
      <c r="D136" t="s">
        <v>20</v>
      </c>
      <c r="E136" t="s">
        <v>14</v>
      </c>
      <c r="F136">
        <v>11</v>
      </c>
      <c r="G136" s="3">
        <v>32.94302992839328</v>
      </c>
      <c r="H136">
        <v>147196</v>
      </c>
      <c r="I136" t="s">
        <v>37</v>
      </c>
      <c r="J136" t="str">
        <f>VLOOKUP(I136, 'State-Regions'!A:B, 2, FALSE)</f>
        <v>Northeast</v>
      </c>
      <c r="K136" s="3">
        <f t="shared" si="2"/>
        <v>362.3733292123261</v>
      </c>
      <c r="L136" t="s">
        <v>105</v>
      </c>
      <c r="M136" s="3">
        <v>32.94302992839328</v>
      </c>
    </row>
    <row r="137" spans="1:13" x14ac:dyDescent="0.25">
      <c r="A137">
        <v>1135</v>
      </c>
      <c r="B137" s="5">
        <v>44382.172962962963</v>
      </c>
      <c r="C137">
        <v>10959</v>
      </c>
      <c r="D137" t="s">
        <v>104</v>
      </c>
      <c r="E137" t="s">
        <v>25</v>
      </c>
      <c r="F137">
        <v>15</v>
      </c>
      <c r="G137" s="3">
        <v>188.78523652077979</v>
      </c>
      <c r="H137">
        <v>148211</v>
      </c>
      <c r="I137" t="s">
        <v>21</v>
      </c>
      <c r="J137" t="str">
        <f>VLOOKUP(I137, 'State-Regions'!A:B, 2, FALSE)</f>
        <v>Northeast</v>
      </c>
      <c r="K137" s="3">
        <f t="shared" si="2"/>
        <v>2831.7785478116966</v>
      </c>
      <c r="L137" t="s">
        <v>105</v>
      </c>
      <c r="M137" s="3">
        <v>188.78523652077979</v>
      </c>
    </row>
    <row r="138" spans="1:13" x14ac:dyDescent="0.25">
      <c r="A138">
        <v>1136</v>
      </c>
      <c r="B138" s="5">
        <v>44318.99927083333</v>
      </c>
      <c r="C138">
        <v>11098</v>
      </c>
      <c r="D138" t="s">
        <v>104</v>
      </c>
      <c r="E138" t="s">
        <v>14</v>
      </c>
      <c r="F138">
        <v>17</v>
      </c>
      <c r="G138" s="3">
        <v>104.3259063469342</v>
      </c>
      <c r="H138">
        <v>110175</v>
      </c>
      <c r="I138" t="s">
        <v>85</v>
      </c>
      <c r="J138" t="str">
        <f>VLOOKUP(I138, 'State-Regions'!A:B, 2, FALSE)</f>
        <v>West</v>
      </c>
      <c r="K138" s="3">
        <f t="shared" si="2"/>
        <v>1773.5404078978816</v>
      </c>
      <c r="L138" t="s">
        <v>105</v>
      </c>
      <c r="M138" s="3">
        <v>104.3259063469342</v>
      </c>
    </row>
    <row r="139" spans="1:13" x14ac:dyDescent="0.25">
      <c r="A139">
        <v>1137</v>
      </c>
      <c r="B139" s="5">
        <v>44389.571631944447</v>
      </c>
      <c r="C139">
        <v>13344</v>
      </c>
      <c r="D139" t="s">
        <v>59</v>
      </c>
      <c r="E139" t="s">
        <v>12</v>
      </c>
      <c r="F139">
        <v>17</v>
      </c>
      <c r="G139" s="3">
        <v>199.9120911230635</v>
      </c>
      <c r="H139">
        <v>159528</v>
      </c>
      <c r="I139" t="s">
        <v>75</v>
      </c>
      <c r="J139" t="str">
        <f>VLOOKUP(I139, 'State-Regions'!A:B, 2, FALSE)</f>
        <v>Midwest</v>
      </c>
      <c r="K139" s="3">
        <f t="shared" si="2"/>
        <v>3398.5055490920795</v>
      </c>
      <c r="L139" t="s">
        <v>105</v>
      </c>
      <c r="M139" s="3">
        <v>199.9120911230635</v>
      </c>
    </row>
    <row r="140" spans="1:13" x14ac:dyDescent="0.25">
      <c r="A140">
        <v>1138</v>
      </c>
      <c r="B140" s="5">
        <v>44236.878310185188</v>
      </c>
      <c r="C140">
        <v>10543</v>
      </c>
      <c r="D140" t="s">
        <v>16</v>
      </c>
      <c r="E140" t="s">
        <v>14</v>
      </c>
      <c r="F140">
        <v>15</v>
      </c>
      <c r="G140" s="3">
        <v>189.87693307565141</v>
      </c>
      <c r="H140">
        <v>140062</v>
      </c>
      <c r="I140" t="s">
        <v>21</v>
      </c>
      <c r="J140" t="str">
        <f>VLOOKUP(I140, 'State-Regions'!A:B, 2, FALSE)</f>
        <v>Northeast</v>
      </c>
      <c r="K140" s="3">
        <f t="shared" si="2"/>
        <v>2848.1539961347712</v>
      </c>
      <c r="L140" t="s">
        <v>105</v>
      </c>
      <c r="M140" s="3">
        <v>189.87693307565141</v>
      </c>
    </row>
    <row r="141" spans="1:13" x14ac:dyDescent="0.25">
      <c r="A141">
        <v>1139</v>
      </c>
      <c r="B141" s="5">
        <v>44470.967361111107</v>
      </c>
      <c r="C141">
        <v>18363</v>
      </c>
      <c r="D141" t="s">
        <v>61</v>
      </c>
      <c r="E141" t="s">
        <v>31</v>
      </c>
      <c r="F141">
        <v>18</v>
      </c>
      <c r="G141" s="3">
        <v>151.64692039174159</v>
      </c>
      <c r="H141">
        <v>175859</v>
      </c>
      <c r="I141" t="s">
        <v>71</v>
      </c>
      <c r="J141" t="str">
        <f>VLOOKUP(I141, 'State-Regions'!A:B, 2, FALSE)</f>
        <v>South</v>
      </c>
      <c r="K141" s="3">
        <f t="shared" si="2"/>
        <v>2729.6445670513485</v>
      </c>
      <c r="L141" t="s">
        <v>105</v>
      </c>
      <c r="M141" s="3">
        <v>151.64692039174159</v>
      </c>
    </row>
    <row r="142" spans="1:13" x14ac:dyDescent="0.25">
      <c r="A142">
        <v>1140</v>
      </c>
      <c r="B142" s="5">
        <v>44504.745636574073</v>
      </c>
      <c r="C142">
        <v>12117</v>
      </c>
      <c r="D142" t="s">
        <v>27</v>
      </c>
      <c r="E142" t="s">
        <v>14</v>
      </c>
      <c r="F142">
        <v>17</v>
      </c>
      <c r="G142" s="3">
        <v>350.58916113709421</v>
      </c>
      <c r="H142">
        <v>185756</v>
      </c>
      <c r="I142" t="s">
        <v>56</v>
      </c>
      <c r="J142" t="str">
        <f>VLOOKUP(I142, 'State-Regions'!A:B, 2, FALSE)</f>
        <v>West</v>
      </c>
      <c r="K142" s="3">
        <f t="shared" si="2"/>
        <v>5960.0157393306017</v>
      </c>
      <c r="L142" t="s">
        <v>105</v>
      </c>
      <c r="M142" s="3">
        <v>350.58916113709421</v>
      </c>
    </row>
    <row r="143" spans="1:13" x14ac:dyDescent="0.25">
      <c r="A143">
        <v>1141</v>
      </c>
      <c r="B143" s="5">
        <v>44483.851122685177</v>
      </c>
      <c r="C143">
        <v>14418</v>
      </c>
      <c r="D143" t="s">
        <v>38</v>
      </c>
      <c r="E143" t="s">
        <v>25</v>
      </c>
      <c r="F143">
        <v>19</v>
      </c>
      <c r="G143" s="3">
        <v>217.5457762753328</v>
      </c>
      <c r="H143">
        <v>166720</v>
      </c>
      <c r="I143" t="s">
        <v>80</v>
      </c>
      <c r="J143" t="str">
        <f>VLOOKUP(I143, 'State-Regions'!A:B, 2, FALSE)</f>
        <v>Northeast</v>
      </c>
      <c r="K143" s="3">
        <f t="shared" si="2"/>
        <v>4133.3697492313231</v>
      </c>
      <c r="L143" t="s">
        <v>105</v>
      </c>
      <c r="M143" s="3">
        <v>217.5457762753328</v>
      </c>
    </row>
    <row r="144" spans="1:13" x14ac:dyDescent="0.25">
      <c r="A144">
        <v>1142</v>
      </c>
      <c r="B144" s="5">
        <v>44370.060636574082</v>
      </c>
      <c r="C144">
        <v>18450</v>
      </c>
      <c r="D144" t="s">
        <v>34</v>
      </c>
      <c r="E144" t="s">
        <v>14</v>
      </c>
      <c r="F144">
        <v>7</v>
      </c>
      <c r="G144" s="3">
        <v>282.88286482889242</v>
      </c>
      <c r="H144">
        <v>125750</v>
      </c>
      <c r="I144" t="s">
        <v>66</v>
      </c>
      <c r="J144" t="str">
        <f>VLOOKUP(I144, 'State-Regions'!A:B, 2, FALSE)</f>
        <v>Northeast</v>
      </c>
      <c r="K144" s="3">
        <f t="shared" si="2"/>
        <v>1980.1800538022469</v>
      </c>
      <c r="L144" t="s">
        <v>105</v>
      </c>
      <c r="M144" s="3">
        <v>282.88286482889242</v>
      </c>
    </row>
    <row r="145" spans="1:13" x14ac:dyDescent="0.25">
      <c r="A145">
        <v>1143</v>
      </c>
      <c r="B145" s="5">
        <v>44269.781041666669</v>
      </c>
      <c r="C145">
        <v>18083</v>
      </c>
      <c r="D145" t="s">
        <v>16</v>
      </c>
      <c r="E145" t="s">
        <v>25</v>
      </c>
      <c r="F145">
        <v>15</v>
      </c>
      <c r="G145" s="3">
        <v>247.83000675624899</v>
      </c>
      <c r="H145">
        <v>166832</v>
      </c>
      <c r="I145" t="s">
        <v>77</v>
      </c>
      <c r="J145" t="str">
        <f>VLOOKUP(I145, 'State-Regions'!A:B, 2, FALSE)</f>
        <v>South</v>
      </c>
      <c r="K145" s="3">
        <f t="shared" si="2"/>
        <v>3717.4501013437348</v>
      </c>
      <c r="L145" t="s">
        <v>105</v>
      </c>
      <c r="M145" s="3">
        <v>247.83000675624899</v>
      </c>
    </row>
    <row r="146" spans="1:13" x14ac:dyDescent="0.25">
      <c r="A146">
        <v>1144</v>
      </c>
      <c r="B146" s="5">
        <v>44399.484918981478</v>
      </c>
      <c r="C146">
        <v>16777</v>
      </c>
      <c r="D146" t="s">
        <v>43</v>
      </c>
      <c r="E146" t="s">
        <v>14</v>
      </c>
      <c r="F146">
        <v>1</v>
      </c>
      <c r="G146" s="3">
        <v>23.90678512580687</v>
      </c>
      <c r="H146">
        <v>195252</v>
      </c>
      <c r="I146" t="s">
        <v>85</v>
      </c>
      <c r="J146" t="str">
        <f>VLOOKUP(I146, 'State-Regions'!A:B, 2, FALSE)</f>
        <v>West</v>
      </c>
      <c r="K146" s="3">
        <f t="shared" si="2"/>
        <v>23.90678512580687</v>
      </c>
      <c r="L146" t="s">
        <v>105</v>
      </c>
      <c r="M146" s="3">
        <v>23.90678512580687</v>
      </c>
    </row>
    <row r="147" spans="1:13" x14ac:dyDescent="0.25">
      <c r="A147">
        <v>1145</v>
      </c>
      <c r="B147" s="5">
        <v>44508.550543981481</v>
      </c>
      <c r="C147">
        <v>10805</v>
      </c>
      <c r="D147" t="s">
        <v>59</v>
      </c>
      <c r="E147" t="s">
        <v>31</v>
      </c>
      <c r="F147">
        <v>18</v>
      </c>
      <c r="G147" s="3">
        <v>183.39835776187451</v>
      </c>
      <c r="H147">
        <v>177901</v>
      </c>
      <c r="I147" t="s">
        <v>63</v>
      </c>
      <c r="J147" t="str">
        <f>VLOOKUP(I147, 'State-Regions'!A:B, 2, FALSE)</f>
        <v>Midwest</v>
      </c>
      <c r="K147" s="3">
        <f t="shared" si="2"/>
        <v>3301.170439713741</v>
      </c>
      <c r="L147" t="s">
        <v>105</v>
      </c>
      <c r="M147" s="3">
        <v>183.39835776187451</v>
      </c>
    </row>
    <row r="148" spans="1:13" x14ac:dyDescent="0.25">
      <c r="A148">
        <v>1146</v>
      </c>
      <c r="B148" s="5">
        <v>44355.229710648149</v>
      </c>
      <c r="C148">
        <v>11960</v>
      </c>
      <c r="D148" t="s">
        <v>40</v>
      </c>
      <c r="E148" t="s">
        <v>25</v>
      </c>
      <c r="F148">
        <v>9</v>
      </c>
      <c r="G148" s="3">
        <v>419.37972245558871</v>
      </c>
      <c r="H148">
        <v>145118</v>
      </c>
      <c r="I148" t="s">
        <v>67</v>
      </c>
      <c r="J148" t="str">
        <f>VLOOKUP(I148, 'State-Regions'!A:B, 2, FALSE)</f>
        <v>West</v>
      </c>
      <c r="K148" s="3">
        <f t="shared" si="2"/>
        <v>3774.4175021002984</v>
      </c>
      <c r="L148" t="s">
        <v>105</v>
      </c>
      <c r="M148" s="3">
        <v>419.37972245558871</v>
      </c>
    </row>
    <row r="149" spans="1:13" x14ac:dyDescent="0.25">
      <c r="A149">
        <v>1147</v>
      </c>
      <c r="B149" s="5">
        <v>44499.752627314818</v>
      </c>
      <c r="C149">
        <v>14353</v>
      </c>
      <c r="D149" t="s">
        <v>22</v>
      </c>
      <c r="E149" t="s">
        <v>25</v>
      </c>
      <c r="F149">
        <v>6</v>
      </c>
      <c r="G149" s="3">
        <v>443.54769940934602</v>
      </c>
      <c r="H149">
        <v>128944</v>
      </c>
      <c r="I149" t="s">
        <v>84</v>
      </c>
      <c r="J149" t="str">
        <f>VLOOKUP(I149, 'State-Regions'!A:B, 2, FALSE)</f>
        <v>Northeast</v>
      </c>
      <c r="K149" s="3">
        <f t="shared" si="2"/>
        <v>2661.2861964560761</v>
      </c>
      <c r="L149" t="s">
        <v>105</v>
      </c>
      <c r="M149" s="3">
        <v>443.54769940934602</v>
      </c>
    </row>
    <row r="150" spans="1:13" x14ac:dyDescent="0.25">
      <c r="A150">
        <v>1148</v>
      </c>
      <c r="B150" s="5">
        <v>44259.078321759262</v>
      </c>
      <c r="C150">
        <v>18469</v>
      </c>
      <c r="D150" t="s">
        <v>20</v>
      </c>
      <c r="E150" t="s">
        <v>25</v>
      </c>
      <c r="F150">
        <v>1</v>
      </c>
      <c r="G150" s="3">
        <v>24.465267610145691</v>
      </c>
      <c r="H150">
        <v>119405</v>
      </c>
      <c r="I150" t="s">
        <v>83</v>
      </c>
      <c r="J150" t="str">
        <f>VLOOKUP(I150, 'State-Regions'!A:B, 2, FALSE)</f>
        <v>Northeast</v>
      </c>
      <c r="K150" s="3">
        <f t="shared" si="2"/>
        <v>24.465267610145691</v>
      </c>
      <c r="L150" t="s">
        <v>105</v>
      </c>
      <c r="M150" s="3">
        <v>24.465267610145691</v>
      </c>
    </row>
    <row r="151" spans="1:13" x14ac:dyDescent="0.25">
      <c r="A151">
        <v>1149</v>
      </c>
      <c r="B151" s="5">
        <v>44514.891770833332</v>
      </c>
      <c r="C151">
        <v>14275</v>
      </c>
      <c r="D151" t="s">
        <v>47</v>
      </c>
      <c r="E151" t="s">
        <v>12</v>
      </c>
      <c r="F151">
        <v>13</v>
      </c>
      <c r="G151" s="3">
        <f>AVERAGE(M:M)</f>
        <v>262.93599539610597</v>
      </c>
      <c r="H151">
        <v>150168</v>
      </c>
      <c r="I151" t="s">
        <v>37</v>
      </c>
      <c r="J151" t="str">
        <f>VLOOKUP(I151, 'State-Regions'!A:B, 2, FALSE)</f>
        <v>Northeast</v>
      </c>
      <c r="K151" s="3">
        <f t="shared" si="2"/>
        <v>3418.1679401493775</v>
      </c>
      <c r="L151" t="s">
        <v>105</v>
      </c>
    </row>
    <row r="152" spans="1:13" x14ac:dyDescent="0.25">
      <c r="A152">
        <v>1063</v>
      </c>
      <c r="B152" s="5">
        <v>44244.318657407413</v>
      </c>
      <c r="C152">
        <v>19344</v>
      </c>
      <c r="D152" t="s">
        <v>104</v>
      </c>
      <c r="E152" t="s">
        <v>31</v>
      </c>
      <c r="F152">
        <v>1</v>
      </c>
      <c r="G152" s="3">
        <v>259.75503864707758</v>
      </c>
      <c r="H152">
        <v>108754</v>
      </c>
      <c r="I152" t="s">
        <v>55</v>
      </c>
      <c r="J152" t="str">
        <f>VLOOKUP(I152, 'State-Regions'!A:B, 2, FALSE)</f>
        <v>Northeast</v>
      </c>
      <c r="K152" s="3">
        <f t="shared" si="2"/>
        <v>259.75503864707758</v>
      </c>
      <c r="L152" t="s">
        <v>105</v>
      </c>
      <c r="M152" s="3">
        <v>259.75503864707758</v>
      </c>
    </row>
    <row r="153" spans="1:13" x14ac:dyDescent="0.25">
      <c r="A153">
        <v>1150</v>
      </c>
      <c r="B153" s="5">
        <v>44397.42564814815</v>
      </c>
      <c r="C153">
        <v>15836</v>
      </c>
      <c r="D153" t="s">
        <v>22</v>
      </c>
      <c r="E153" t="s">
        <v>25</v>
      </c>
      <c r="F153">
        <v>11</v>
      </c>
      <c r="G153" s="3">
        <v>57.133927323319931</v>
      </c>
      <c r="H153">
        <v>150557</v>
      </c>
      <c r="I153" t="s">
        <v>42</v>
      </c>
      <c r="J153" t="str">
        <f>VLOOKUP(I153, 'State-Regions'!A:B, 2, FALSE)</f>
        <v>West</v>
      </c>
      <c r="K153" s="3">
        <f t="shared" si="2"/>
        <v>628.47320055651926</v>
      </c>
      <c r="L153" t="s">
        <v>105</v>
      </c>
      <c r="M153" s="3">
        <v>57.133927323319931</v>
      </c>
    </row>
    <row r="154" spans="1:13" x14ac:dyDescent="0.25">
      <c r="A154">
        <v>1151</v>
      </c>
      <c r="B154" s="5">
        <v>44307.160520833328</v>
      </c>
      <c r="C154">
        <v>11761</v>
      </c>
      <c r="D154" t="s">
        <v>43</v>
      </c>
      <c r="E154" t="s">
        <v>12</v>
      </c>
      <c r="F154">
        <v>11</v>
      </c>
      <c r="G154" s="3">
        <v>312.40035230299941</v>
      </c>
      <c r="H154">
        <v>193912</v>
      </c>
      <c r="I154" t="s">
        <v>60</v>
      </c>
      <c r="J154" t="str">
        <f>VLOOKUP(I154, 'State-Regions'!A:B, 2, FALSE)</f>
        <v>South</v>
      </c>
      <c r="K154" s="3">
        <f t="shared" si="2"/>
        <v>3436.4038753329933</v>
      </c>
      <c r="L154" t="s">
        <v>105</v>
      </c>
      <c r="M154" s="3">
        <v>312.40035230299941</v>
      </c>
    </row>
    <row r="155" spans="1:13" x14ac:dyDescent="0.25">
      <c r="A155">
        <v>1152</v>
      </c>
      <c r="B155" s="5">
        <v>44349.459780092591</v>
      </c>
      <c r="C155">
        <v>16134</v>
      </c>
      <c r="D155" t="s">
        <v>43</v>
      </c>
      <c r="E155" t="s">
        <v>14</v>
      </c>
      <c r="F155">
        <v>5</v>
      </c>
      <c r="G155" s="3">
        <v>493.97319542249431</v>
      </c>
      <c r="H155">
        <v>106921</v>
      </c>
      <c r="I155" t="s">
        <v>33</v>
      </c>
      <c r="J155" t="str">
        <f>VLOOKUP(I155, 'State-Regions'!A:B, 2, FALSE)</f>
        <v>Midwest</v>
      </c>
      <c r="K155" s="3">
        <f t="shared" si="2"/>
        <v>2469.8659771124717</v>
      </c>
      <c r="L155" t="s">
        <v>105</v>
      </c>
      <c r="M155" s="3">
        <v>493.97319542249431</v>
      </c>
    </row>
    <row r="156" spans="1:13" x14ac:dyDescent="0.25">
      <c r="A156">
        <v>1153</v>
      </c>
      <c r="B156" s="5">
        <v>44258.882013888891</v>
      </c>
      <c r="C156">
        <v>17945</v>
      </c>
      <c r="D156" t="s">
        <v>43</v>
      </c>
      <c r="E156" t="s">
        <v>12</v>
      </c>
      <c r="F156">
        <v>6</v>
      </c>
      <c r="G156" s="3">
        <v>492.29346539767567</v>
      </c>
      <c r="H156">
        <v>122516</v>
      </c>
      <c r="I156" t="s">
        <v>32</v>
      </c>
      <c r="J156" t="str">
        <f>VLOOKUP(I156, 'State-Regions'!A:B, 2, FALSE)</f>
        <v>Midwest</v>
      </c>
      <c r="K156" s="3">
        <f t="shared" si="2"/>
        <v>2953.7607923860542</v>
      </c>
      <c r="L156" t="s">
        <v>105</v>
      </c>
      <c r="M156" s="3">
        <v>492.29346539767567</v>
      </c>
    </row>
    <row r="157" spans="1:13" x14ac:dyDescent="0.25">
      <c r="A157">
        <v>1154</v>
      </c>
      <c r="B157" s="5">
        <v>44438.554502314822</v>
      </c>
      <c r="C157">
        <v>18421</v>
      </c>
      <c r="D157" t="s">
        <v>51</v>
      </c>
      <c r="E157" t="s">
        <v>25</v>
      </c>
      <c r="F157">
        <v>5</v>
      </c>
      <c r="G157" s="3">
        <v>365.0712011674471</v>
      </c>
      <c r="H157">
        <v>158837</v>
      </c>
      <c r="I157" t="s">
        <v>79</v>
      </c>
      <c r="J157" t="str">
        <f>VLOOKUP(I157, 'State-Regions'!A:B, 2, FALSE)</f>
        <v>Midwest</v>
      </c>
      <c r="K157" s="3">
        <f t="shared" si="2"/>
        <v>1825.3560058372354</v>
      </c>
      <c r="L157" t="s">
        <v>105</v>
      </c>
      <c r="M157" s="3">
        <v>365.0712011674471</v>
      </c>
    </row>
    <row r="158" spans="1:13" x14ac:dyDescent="0.25">
      <c r="A158">
        <v>1155</v>
      </c>
      <c r="B158" s="5">
        <v>44494.599861111114</v>
      </c>
      <c r="C158">
        <v>13167</v>
      </c>
      <c r="D158" t="s">
        <v>27</v>
      </c>
      <c r="E158" t="s">
        <v>31</v>
      </c>
      <c r="F158">
        <v>19</v>
      </c>
      <c r="G158" s="3">
        <v>334.70397585627393</v>
      </c>
      <c r="H158">
        <v>183612</v>
      </c>
      <c r="I158" t="s">
        <v>78</v>
      </c>
      <c r="J158" t="str">
        <f>VLOOKUP(I158, 'State-Regions'!A:B, 2, FALSE)</f>
        <v>South</v>
      </c>
      <c r="K158" s="3">
        <f t="shared" si="2"/>
        <v>6359.3755412692044</v>
      </c>
      <c r="L158" t="s">
        <v>105</v>
      </c>
      <c r="M158" s="3">
        <v>334.70397585627393</v>
      </c>
    </row>
    <row r="159" spans="1:13" x14ac:dyDescent="0.25">
      <c r="A159">
        <v>1156</v>
      </c>
      <c r="B159" s="5">
        <v>44474.764791666668</v>
      </c>
      <c r="C159">
        <v>14101</v>
      </c>
      <c r="D159" t="s">
        <v>40</v>
      </c>
      <c r="E159" t="s">
        <v>12</v>
      </c>
      <c r="F159">
        <v>9</v>
      </c>
      <c r="G159" s="3">
        <v>116.9671783924969</v>
      </c>
      <c r="H159">
        <v>163311</v>
      </c>
      <c r="I159" t="s">
        <v>70</v>
      </c>
      <c r="J159" t="str">
        <f>VLOOKUP(I159, 'State-Regions'!A:B, 2, FALSE)</f>
        <v>West</v>
      </c>
      <c r="K159" s="3">
        <f t="shared" si="2"/>
        <v>1052.7046055324722</v>
      </c>
      <c r="L159" t="s">
        <v>105</v>
      </c>
      <c r="M159" s="3">
        <v>116.9671783924969</v>
      </c>
    </row>
    <row r="160" spans="1:13" x14ac:dyDescent="0.25">
      <c r="A160">
        <v>1157</v>
      </c>
      <c r="B160" s="5">
        <v>44559.828275462962</v>
      </c>
      <c r="C160">
        <v>11115</v>
      </c>
      <c r="D160" t="s">
        <v>27</v>
      </c>
      <c r="E160" t="s">
        <v>14</v>
      </c>
      <c r="F160">
        <v>2</v>
      </c>
      <c r="G160" s="3">
        <v>356.93455551204102</v>
      </c>
      <c r="H160">
        <v>187404</v>
      </c>
      <c r="I160" t="s">
        <v>81</v>
      </c>
      <c r="J160" t="str">
        <f>VLOOKUP(I160, 'State-Regions'!A:B, 2, FALSE)</f>
        <v>South</v>
      </c>
      <c r="K160" s="3">
        <f t="shared" si="2"/>
        <v>713.86911102408203</v>
      </c>
      <c r="L160" t="s">
        <v>105</v>
      </c>
      <c r="M160" s="3">
        <v>356.93455551204102</v>
      </c>
    </row>
    <row r="161" spans="1:13" x14ac:dyDescent="0.25">
      <c r="A161">
        <v>1158</v>
      </c>
      <c r="B161" s="5">
        <v>44478.331342592603</v>
      </c>
      <c r="C161">
        <v>12150</v>
      </c>
      <c r="D161" t="s">
        <v>40</v>
      </c>
      <c r="E161" t="s">
        <v>12</v>
      </c>
      <c r="F161">
        <v>3</v>
      </c>
      <c r="G161" s="3">
        <v>398.3008229692656</v>
      </c>
      <c r="H161">
        <v>119807</v>
      </c>
      <c r="I161" t="s">
        <v>64</v>
      </c>
      <c r="J161" t="str">
        <f>VLOOKUP(I161, 'State-Regions'!A:B, 2, FALSE)</f>
        <v>West</v>
      </c>
      <c r="K161" s="3">
        <f t="shared" si="2"/>
        <v>1194.9024689077969</v>
      </c>
      <c r="L161" t="s">
        <v>105</v>
      </c>
      <c r="M161" s="3">
        <v>398.3008229692656</v>
      </c>
    </row>
    <row r="162" spans="1:13" x14ac:dyDescent="0.25">
      <c r="A162">
        <v>1159</v>
      </c>
      <c r="B162" s="5">
        <v>44332.435439814813</v>
      </c>
      <c r="C162">
        <v>16581</v>
      </c>
      <c r="D162" t="s">
        <v>20</v>
      </c>
      <c r="E162" t="s">
        <v>14</v>
      </c>
      <c r="F162">
        <v>16</v>
      </c>
      <c r="G162" s="3">
        <v>249.27134648723529</v>
      </c>
      <c r="H162">
        <v>105164</v>
      </c>
      <c r="I162" t="s">
        <v>13</v>
      </c>
      <c r="J162" t="str">
        <f>VLOOKUP(I162, 'State-Regions'!A:B, 2, FALSE)</f>
        <v>Midwest</v>
      </c>
      <c r="K162" s="3">
        <f t="shared" si="2"/>
        <v>3988.3415437957647</v>
      </c>
      <c r="L162" t="s">
        <v>105</v>
      </c>
      <c r="M162" s="3">
        <v>249.27134648723529</v>
      </c>
    </row>
    <row r="163" spans="1:13" x14ac:dyDescent="0.25">
      <c r="A163">
        <v>1160</v>
      </c>
      <c r="B163" s="5">
        <v>44240.874548611107</v>
      </c>
      <c r="C163">
        <v>18014</v>
      </c>
      <c r="D163" t="s">
        <v>20</v>
      </c>
      <c r="E163" t="s">
        <v>25</v>
      </c>
      <c r="F163">
        <v>11</v>
      </c>
      <c r="G163" s="3">
        <v>404.30451005430541</v>
      </c>
      <c r="H163">
        <v>109015</v>
      </c>
      <c r="I163" t="s">
        <v>85</v>
      </c>
      <c r="J163" t="str">
        <f>VLOOKUP(I163, 'State-Regions'!A:B, 2, FALSE)</f>
        <v>West</v>
      </c>
      <c r="K163" s="3">
        <f t="shared" si="2"/>
        <v>4447.3496105973591</v>
      </c>
      <c r="L163" t="s">
        <v>105</v>
      </c>
      <c r="M163" s="3">
        <v>404.30451005430541</v>
      </c>
    </row>
    <row r="164" spans="1:13" x14ac:dyDescent="0.25">
      <c r="A164">
        <v>1161</v>
      </c>
      <c r="B164" s="5">
        <v>44297.109305555547</v>
      </c>
      <c r="C164">
        <v>16505</v>
      </c>
      <c r="D164" t="s">
        <v>61</v>
      </c>
      <c r="E164" t="s">
        <v>31</v>
      </c>
      <c r="F164">
        <v>1</v>
      </c>
      <c r="G164" s="3">
        <v>424.02208612496088</v>
      </c>
      <c r="H164">
        <v>178413</v>
      </c>
      <c r="I164" t="s">
        <v>26</v>
      </c>
      <c r="J164" t="str">
        <f>VLOOKUP(I164, 'State-Regions'!A:B, 2, FALSE)</f>
        <v>West</v>
      </c>
      <c r="K164" s="3">
        <f t="shared" si="2"/>
        <v>424.02208612496088</v>
      </c>
      <c r="L164" t="s">
        <v>105</v>
      </c>
      <c r="M164" s="3">
        <v>424.02208612496088</v>
      </c>
    </row>
    <row r="165" spans="1:13" x14ac:dyDescent="0.25">
      <c r="A165">
        <v>1162</v>
      </c>
      <c r="B165" s="5">
        <v>44377.761377314811</v>
      </c>
      <c r="C165">
        <v>14333</v>
      </c>
      <c r="D165" t="s">
        <v>24</v>
      </c>
      <c r="E165" t="s">
        <v>12</v>
      </c>
      <c r="F165">
        <v>8</v>
      </c>
      <c r="G165" s="3">
        <v>222.11453216717331</v>
      </c>
      <c r="H165">
        <v>182258</v>
      </c>
      <c r="I165" t="s">
        <v>37</v>
      </c>
      <c r="J165" t="str">
        <f>VLOOKUP(I165, 'State-Regions'!A:B, 2, FALSE)</f>
        <v>Northeast</v>
      </c>
      <c r="K165" s="3">
        <f t="shared" si="2"/>
        <v>1776.9162573373865</v>
      </c>
      <c r="L165" t="s">
        <v>105</v>
      </c>
      <c r="M165" s="3">
        <v>222.11453216717331</v>
      </c>
    </row>
    <row r="166" spans="1:13" x14ac:dyDescent="0.25">
      <c r="A166">
        <v>1163</v>
      </c>
      <c r="B166" s="5">
        <v>44214.942499999997</v>
      </c>
      <c r="C166">
        <v>19257</v>
      </c>
      <c r="D166" t="s">
        <v>24</v>
      </c>
      <c r="E166" t="s">
        <v>31</v>
      </c>
      <c r="F166">
        <v>18</v>
      </c>
      <c r="G166" s="3">
        <v>481.82005702986191</v>
      </c>
      <c r="H166">
        <v>159865</v>
      </c>
      <c r="I166" t="s">
        <v>76</v>
      </c>
      <c r="J166" t="str">
        <f>VLOOKUP(I166, 'State-Regions'!A:B, 2, FALSE)</f>
        <v>West</v>
      </c>
      <c r="K166" s="3">
        <f t="shared" si="2"/>
        <v>8672.7610265375151</v>
      </c>
      <c r="L166" t="s">
        <v>105</v>
      </c>
      <c r="M166" s="3">
        <v>481.82005702986191</v>
      </c>
    </row>
    <row r="167" spans="1:13" x14ac:dyDescent="0.25">
      <c r="A167">
        <v>1164</v>
      </c>
      <c r="B167" s="5">
        <v>44440.638333333343</v>
      </c>
      <c r="C167">
        <v>15533</v>
      </c>
      <c r="D167" t="s">
        <v>30</v>
      </c>
      <c r="E167" t="s">
        <v>31</v>
      </c>
      <c r="F167">
        <v>6</v>
      </c>
      <c r="G167" s="3">
        <v>341.80409441694519</v>
      </c>
      <c r="H167">
        <v>163902</v>
      </c>
      <c r="I167" t="s">
        <v>29</v>
      </c>
      <c r="J167" t="str">
        <f>VLOOKUP(I167, 'State-Regions'!A:B, 2, FALSE)</f>
        <v>South</v>
      </c>
      <c r="K167" s="3">
        <f t="shared" si="2"/>
        <v>2050.8245665016711</v>
      </c>
      <c r="L167" t="s">
        <v>105</v>
      </c>
      <c r="M167" s="3">
        <v>341.80409441694519</v>
      </c>
    </row>
    <row r="168" spans="1:13" x14ac:dyDescent="0.25">
      <c r="A168">
        <v>1165</v>
      </c>
      <c r="B168" s="5">
        <v>44276.778263888889</v>
      </c>
      <c r="C168">
        <v>14699</v>
      </c>
      <c r="D168" t="s">
        <v>104</v>
      </c>
      <c r="E168" t="s">
        <v>25</v>
      </c>
      <c r="F168">
        <v>3</v>
      </c>
      <c r="G168" s="3">
        <v>226.50232849822419</v>
      </c>
      <c r="H168">
        <v>126529</v>
      </c>
      <c r="I168" t="s">
        <v>71</v>
      </c>
      <c r="J168" t="str">
        <f>VLOOKUP(I168, 'State-Regions'!A:B, 2, FALSE)</f>
        <v>South</v>
      </c>
      <c r="K168" s="3">
        <f t="shared" si="2"/>
        <v>679.50698549467256</v>
      </c>
      <c r="L168" t="s">
        <v>105</v>
      </c>
      <c r="M168" s="3">
        <v>226.50232849822419</v>
      </c>
    </row>
    <row r="169" spans="1:13" x14ac:dyDescent="0.25">
      <c r="A169">
        <v>1166</v>
      </c>
      <c r="B169" s="5">
        <v>44203.587129629632</v>
      </c>
      <c r="C169">
        <v>14021</v>
      </c>
      <c r="D169" t="s">
        <v>40</v>
      </c>
      <c r="E169" t="s">
        <v>12</v>
      </c>
      <c r="F169">
        <v>1</v>
      </c>
      <c r="G169" s="3">
        <v>159.04667596021969</v>
      </c>
      <c r="H169">
        <v>121327</v>
      </c>
      <c r="I169" t="s">
        <v>86</v>
      </c>
      <c r="J169" t="str">
        <f>VLOOKUP(I169, 'State-Regions'!A:B, 2, FALSE)</f>
        <v>West</v>
      </c>
      <c r="K169" s="3">
        <f t="shared" si="2"/>
        <v>159.04667596021969</v>
      </c>
      <c r="L169" t="s">
        <v>105</v>
      </c>
      <c r="M169" s="3">
        <v>159.04667596021969</v>
      </c>
    </row>
    <row r="170" spans="1:13" x14ac:dyDescent="0.25">
      <c r="A170">
        <v>1167</v>
      </c>
      <c r="B170" s="5">
        <v>44404.573460648149</v>
      </c>
      <c r="C170">
        <v>14783</v>
      </c>
      <c r="D170" t="s">
        <v>59</v>
      </c>
      <c r="E170" t="s">
        <v>12</v>
      </c>
      <c r="F170">
        <v>5</v>
      </c>
      <c r="G170" s="3">
        <v>113.20117626553331</v>
      </c>
      <c r="H170">
        <v>133314</v>
      </c>
      <c r="I170" t="s">
        <v>48</v>
      </c>
      <c r="J170" t="str">
        <f>VLOOKUP(I170, 'State-Regions'!A:B, 2, FALSE)</f>
        <v>West</v>
      </c>
      <c r="K170" s="3">
        <f t="shared" si="2"/>
        <v>566.00588132766654</v>
      </c>
      <c r="L170" t="s">
        <v>105</v>
      </c>
      <c r="M170" s="3">
        <v>113.20117626553331</v>
      </c>
    </row>
    <row r="171" spans="1:13" x14ac:dyDescent="0.25">
      <c r="A171">
        <v>1168</v>
      </c>
      <c r="B171" s="5">
        <v>44295.969270833331</v>
      </c>
      <c r="C171">
        <v>11147</v>
      </c>
      <c r="D171" t="s">
        <v>30</v>
      </c>
      <c r="E171" t="s">
        <v>14</v>
      </c>
      <c r="F171">
        <v>12</v>
      </c>
      <c r="G171" s="3">
        <v>277.23279284119337</v>
      </c>
      <c r="H171">
        <v>160256</v>
      </c>
      <c r="I171" t="s">
        <v>42</v>
      </c>
      <c r="J171" t="str">
        <f>VLOOKUP(I171, 'State-Regions'!A:B, 2, FALSE)</f>
        <v>West</v>
      </c>
      <c r="K171" s="3">
        <f t="shared" si="2"/>
        <v>3326.7935140943205</v>
      </c>
      <c r="L171" t="s">
        <v>105</v>
      </c>
      <c r="M171" s="3">
        <v>277.23279284119337</v>
      </c>
    </row>
    <row r="172" spans="1:13" x14ac:dyDescent="0.25">
      <c r="A172">
        <v>1169</v>
      </c>
      <c r="B172" s="5">
        <v>44476.31009259259</v>
      </c>
      <c r="C172">
        <v>19966</v>
      </c>
      <c r="D172" t="s">
        <v>43</v>
      </c>
      <c r="E172" t="s">
        <v>31</v>
      </c>
      <c r="F172">
        <v>11</v>
      </c>
      <c r="G172" s="3">
        <v>318.02226014335918</v>
      </c>
      <c r="H172">
        <v>124067</v>
      </c>
      <c r="I172" t="s">
        <v>87</v>
      </c>
      <c r="J172" t="str">
        <f>VLOOKUP(I172, 'State-Regions'!A:B, 2, FALSE)</f>
        <v>South</v>
      </c>
      <c r="K172" s="3">
        <f t="shared" si="2"/>
        <v>3498.2448615769508</v>
      </c>
      <c r="L172" t="s">
        <v>105</v>
      </c>
      <c r="M172" s="3">
        <v>318.02226014335918</v>
      </c>
    </row>
    <row r="173" spans="1:13" x14ac:dyDescent="0.25">
      <c r="A173">
        <v>1170</v>
      </c>
      <c r="B173" s="5">
        <v>44551.816817129627</v>
      </c>
      <c r="C173">
        <v>11788</v>
      </c>
      <c r="D173" t="s">
        <v>43</v>
      </c>
      <c r="E173" t="s">
        <v>25</v>
      </c>
      <c r="F173">
        <v>9</v>
      </c>
      <c r="G173" s="3">
        <v>194.1650716583739</v>
      </c>
      <c r="H173">
        <v>151770</v>
      </c>
      <c r="I173" t="s">
        <v>29</v>
      </c>
      <c r="J173" t="str">
        <f>VLOOKUP(I173, 'State-Regions'!A:B, 2, FALSE)</f>
        <v>South</v>
      </c>
      <c r="K173" s="3">
        <f t="shared" si="2"/>
        <v>1747.4856449253652</v>
      </c>
      <c r="L173" t="s">
        <v>105</v>
      </c>
      <c r="M173" s="3">
        <v>194.1650716583739</v>
      </c>
    </row>
    <row r="174" spans="1:13" x14ac:dyDescent="0.25">
      <c r="A174">
        <v>1171</v>
      </c>
      <c r="B174" s="5">
        <v>44283.717627314807</v>
      </c>
      <c r="C174">
        <v>17669</v>
      </c>
      <c r="D174" t="s">
        <v>34</v>
      </c>
      <c r="E174" t="s">
        <v>31</v>
      </c>
      <c r="F174">
        <v>6</v>
      </c>
      <c r="G174" s="3">
        <v>371.99252654323749</v>
      </c>
      <c r="H174">
        <v>104020</v>
      </c>
      <c r="I174" t="s">
        <v>15</v>
      </c>
      <c r="J174" t="str">
        <f>VLOOKUP(I174, 'State-Regions'!A:B, 2, FALSE)</f>
        <v>Midwest</v>
      </c>
      <c r="K174" s="3">
        <f t="shared" si="2"/>
        <v>2231.9551592594248</v>
      </c>
      <c r="L174" t="s">
        <v>105</v>
      </c>
      <c r="M174" s="3">
        <v>371.99252654323749</v>
      </c>
    </row>
    <row r="175" spans="1:13" x14ac:dyDescent="0.25">
      <c r="A175">
        <v>1172</v>
      </c>
      <c r="B175" s="5">
        <v>44556.318402777782</v>
      </c>
      <c r="C175">
        <v>16267</v>
      </c>
      <c r="D175" t="s">
        <v>36</v>
      </c>
      <c r="E175" t="s">
        <v>12</v>
      </c>
      <c r="F175">
        <v>5</v>
      </c>
      <c r="G175" s="3">
        <v>355.46088481917991</v>
      </c>
      <c r="H175">
        <v>184202</v>
      </c>
      <c r="I175" t="s">
        <v>19</v>
      </c>
      <c r="J175" t="str">
        <f>VLOOKUP(I175, 'State-Regions'!A:B, 2, FALSE)</f>
        <v>South</v>
      </c>
      <c r="K175" s="3">
        <f t="shared" si="2"/>
        <v>1777.3044240958995</v>
      </c>
      <c r="L175" t="s">
        <v>105</v>
      </c>
      <c r="M175" s="3">
        <v>355.46088481917991</v>
      </c>
    </row>
    <row r="176" spans="1:13" x14ac:dyDescent="0.25">
      <c r="A176">
        <v>1173</v>
      </c>
      <c r="B176" s="5">
        <v>44543.465416666673</v>
      </c>
      <c r="C176">
        <v>19104</v>
      </c>
      <c r="D176" t="s">
        <v>22</v>
      </c>
      <c r="E176" t="s">
        <v>25</v>
      </c>
      <c r="F176">
        <v>4</v>
      </c>
      <c r="G176" s="3">
        <v>228.52042026079471</v>
      </c>
      <c r="H176">
        <v>175833</v>
      </c>
      <c r="I176" t="s">
        <v>37</v>
      </c>
      <c r="J176" t="str">
        <f>VLOOKUP(I176, 'State-Regions'!A:B, 2, FALSE)</f>
        <v>Northeast</v>
      </c>
      <c r="K176" s="3">
        <f t="shared" si="2"/>
        <v>914.08168104317883</v>
      </c>
      <c r="L176" t="s">
        <v>105</v>
      </c>
      <c r="M176" s="3">
        <v>228.52042026079471</v>
      </c>
    </row>
    <row r="177" spans="1:13" x14ac:dyDescent="0.25">
      <c r="A177">
        <v>1174</v>
      </c>
      <c r="B177" s="5">
        <v>44369.822453703702</v>
      </c>
      <c r="C177">
        <v>11202</v>
      </c>
      <c r="D177" t="s">
        <v>24</v>
      </c>
      <c r="E177" t="s">
        <v>25</v>
      </c>
      <c r="F177">
        <v>3</v>
      </c>
      <c r="G177" s="3">
        <v>316.61768753221708</v>
      </c>
      <c r="H177">
        <v>175515</v>
      </c>
      <c r="I177" t="s">
        <v>23</v>
      </c>
      <c r="J177" t="str">
        <f>VLOOKUP(I177, 'State-Regions'!A:B, 2, FALSE)</f>
        <v>South</v>
      </c>
      <c r="K177" s="3">
        <f t="shared" si="2"/>
        <v>949.85306259665117</v>
      </c>
      <c r="L177" t="s">
        <v>105</v>
      </c>
      <c r="M177" s="3">
        <v>316.61768753221708</v>
      </c>
    </row>
    <row r="178" spans="1:13" x14ac:dyDescent="0.25">
      <c r="A178">
        <v>1175</v>
      </c>
      <c r="B178" s="5">
        <v>44468.158171296287</v>
      </c>
      <c r="C178">
        <v>10682</v>
      </c>
      <c r="D178" t="s">
        <v>74</v>
      </c>
      <c r="E178" t="s">
        <v>12</v>
      </c>
      <c r="F178">
        <v>7</v>
      </c>
      <c r="G178" s="3">
        <v>228.35951802611089</v>
      </c>
      <c r="H178">
        <v>194659</v>
      </c>
      <c r="I178" t="s">
        <v>33</v>
      </c>
      <c r="J178" t="str">
        <f>VLOOKUP(I178, 'State-Regions'!A:B, 2, FALSE)</f>
        <v>Midwest</v>
      </c>
      <c r="K178" s="3">
        <f t="shared" si="2"/>
        <v>1598.5166261827762</v>
      </c>
      <c r="L178" t="s">
        <v>105</v>
      </c>
      <c r="M178" s="3">
        <v>228.35951802611089</v>
      </c>
    </row>
    <row r="179" spans="1:13" x14ac:dyDescent="0.25">
      <c r="A179">
        <v>1176</v>
      </c>
      <c r="B179" s="5">
        <v>44305.993472222217</v>
      </c>
      <c r="C179">
        <v>12688</v>
      </c>
      <c r="D179" t="s">
        <v>16</v>
      </c>
      <c r="E179" t="s">
        <v>25</v>
      </c>
      <c r="F179">
        <v>12</v>
      </c>
      <c r="G179" s="3">
        <v>48.06771575672763</v>
      </c>
      <c r="H179">
        <v>190965</v>
      </c>
      <c r="I179" t="s">
        <v>39</v>
      </c>
      <c r="J179" t="str">
        <f>VLOOKUP(I179, 'State-Regions'!A:B, 2, FALSE)</f>
        <v>Midwest</v>
      </c>
      <c r="K179" s="3">
        <f t="shared" si="2"/>
        <v>576.81258908073153</v>
      </c>
      <c r="L179" t="s">
        <v>105</v>
      </c>
      <c r="M179" s="3">
        <v>48.06771575672763</v>
      </c>
    </row>
    <row r="180" spans="1:13" x14ac:dyDescent="0.25">
      <c r="A180">
        <v>1177</v>
      </c>
      <c r="B180" s="5">
        <v>44209.30982638889</v>
      </c>
      <c r="C180">
        <v>14428</v>
      </c>
      <c r="D180" t="s">
        <v>38</v>
      </c>
      <c r="E180" t="s">
        <v>12</v>
      </c>
      <c r="F180">
        <v>1</v>
      </c>
      <c r="G180" s="3">
        <v>378.30273539475002</v>
      </c>
      <c r="H180">
        <v>180695</v>
      </c>
      <c r="I180" t="s">
        <v>83</v>
      </c>
      <c r="J180" t="str">
        <f>VLOOKUP(I180, 'State-Regions'!A:B, 2, FALSE)</f>
        <v>Northeast</v>
      </c>
      <c r="K180" s="3">
        <f t="shared" si="2"/>
        <v>378.30273539475002</v>
      </c>
      <c r="L180" t="s">
        <v>105</v>
      </c>
      <c r="M180" s="3">
        <v>378.30273539475002</v>
      </c>
    </row>
    <row r="181" spans="1:13" x14ac:dyDescent="0.25">
      <c r="A181">
        <v>1178</v>
      </c>
      <c r="B181" s="5">
        <v>44544.117118055547</v>
      </c>
      <c r="C181">
        <v>12311</v>
      </c>
      <c r="D181" t="s">
        <v>18</v>
      </c>
      <c r="E181" t="s">
        <v>25</v>
      </c>
      <c r="F181">
        <v>8</v>
      </c>
      <c r="G181" s="3">
        <v>437.57953695657852</v>
      </c>
      <c r="H181">
        <v>181700</v>
      </c>
      <c r="I181" t="s">
        <v>23</v>
      </c>
      <c r="J181" t="str">
        <f>VLOOKUP(I181, 'State-Regions'!A:B, 2, FALSE)</f>
        <v>South</v>
      </c>
      <c r="K181" s="3">
        <f t="shared" si="2"/>
        <v>3500.6362956526282</v>
      </c>
      <c r="L181" t="s">
        <v>105</v>
      </c>
      <c r="M181" s="3">
        <v>437.57953695657852</v>
      </c>
    </row>
    <row r="182" spans="1:13" x14ac:dyDescent="0.25">
      <c r="A182">
        <v>1179</v>
      </c>
      <c r="B182" s="5">
        <v>44529.101539351846</v>
      </c>
      <c r="C182">
        <v>17770</v>
      </c>
      <c r="D182" t="s">
        <v>24</v>
      </c>
      <c r="E182" t="s">
        <v>14</v>
      </c>
      <c r="F182">
        <v>17</v>
      </c>
      <c r="G182" s="3">
        <v>139.06443800261181</v>
      </c>
      <c r="H182">
        <v>157277</v>
      </c>
      <c r="I182" t="s">
        <v>37</v>
      </c>
      <c r="J182" t="str">
        <f>VLOOKUP(I182, 'State-Regions'!A:B, 2, FALSE)</f>
        <v>Northeast</v>
      </c>
      <c r="K182" s="3">
        <f t="shared" si="2"/>
        <v>2364.0954460444009</v>
      </c>
      <c r="L182" t="s">
        <v>105</v>
      </c>
      <c r="M182" s="3">
        <v>139.06443800261181</v>
      </c>
    </row>
    <row r="183" spans="1:13" x14ac:dyDescent="0.25">
      <c r="A183">
        <v>1180</v>
      </c>
      <c r="B183" s="5">
        <v>44508.191944444443</v>
      </c>
      <c r="C183">
        <v>10656</v>
      </c>
      <c r="D183" t="s">
        <v>47</v>
      </c>
      <c r="E183" t="s">
        <v>31</v>
      </c>
      <c r="F183">
        <v>9</v>
      </c>
      <c r="G183" s="3">
        <v>340.93754141718517</v>
      </c>
      <c r="H183">
        <v>190298</v>
      </c>
      <c r="I183" t="s">
        <v>85</v>
      </c>
      <c r="J183" t="str">
        <f>VLOOKUP(I183, 'State-Regions'!A:B, 2, FALSE)</f>
        <v>West</v>
      </c>
      <c r="K183" s="3">
        <f t="shared" si="2"/>
        <v>3068.4378727546664</v>
      </c>
      <c r="L183" t="s">
        <v>105</v>
      </c>
      <c r="M183" s="3">
        <v>340.93754141718517</v>
      </c>
    </row>
    <row r="184" spans="1:13" x14ac:dyDescent="0.25">
      <c r="A184">
        <v>1181</v>
      </c>
      <c r="B184" s="5">
        <v>44467.479062500002</v>
      </c>
      <c r="C184">
        <v>11120</v>
      </c>
      <c r="D184" t="s">
        <v>34</v>
      </c>
      <c r="E184" t="s">
        <v>12</v>
      </c>
      <c r="F184">
        <v>15</v>
      </c>
      <c r="G184" s="3">
        <v>96.556247986162745</v>
      </c>
      <c r="H184">
        <v>123110</v>
      </c>
      <c r="I184" t="s">
        <v>56</v>
      </c>
      <c r="J184" t="str">
        <f>VLOOKUP(I184, 'State-Regions'!A:B, 2, FALSE)</f>
        <v>West</v>
      </c>
      <c r="K184" s="3">
        <f t="shared" si="2"/>
        <v>1448.3437197924411</v>
      </c>
      <c r="L184" t="s">
        <v>105</v>
      </c>
      <c r="M184" s="3">
        <v>96.556247986162745</v>
      </c>
    </row>
    <row r="185" spans="1:13" x14ac:dyDescent="0.25">
      <c r="A185">
        <v>1182</v>
      </c>
      <c r="B185" s="5">
        <v>44408.050949074073</v>
      </c>
      <c r="C185">
        <v>15946</v>
      </c>
      <c r="D185" t="s">
        <v>61</v>
      </c>
      <c r="E185" t="s">
        <v>25</v>
      </c>
      <c r="F185">
        <v>18</v>
      </c>
      <c r="G185" s="3">
        <v>83.263904506506236</v>
      </c>
      <c r="H185">
        <v>180981</v>
      </c>
      <c r="I185" t="s">
        <v>79</v>
      </c>
      <c r="J185" t="str">
        <f>VLOOKUP(I185, 'State-Regions'!A:B, 2, FALSE)</f>
        <v>Midwest</v>
      </c>
      <c r="K185" s="3">
        <f t="shared" si="2"/>
        <v>1498.7502811171123</v>
      </c>
      <c r="L185" t="s">
        <v>105</v>
      </c>
      <c r="M185" s="3">
        <v>83.263904506506236</v>
      </c>
    </row>
    <row r="186" spans="1:13" x14ac:dyDescent="0.25">
      <c r="A186">
        <v>1183</v>
      </c>
      <c r="B186" s="5">
        <v>44345.028043981481</v>
      </c>
      <c r="C186">
        <v>18377</v>
      </c>
      <c r="D186" t="s">
        <v>34</v>
      </c>
      <c r="E186" t="s">
        <v>25</v>
      </c>
      <c r="F186">
        <v>17</v>
      </c>
      <c r="G186" s="3">
        <v>126.8529346409526</v>
      </c>
      <c r="H186">
        <v>119833</v>
      </c>
      <c r="I186" t="s">
        <v>58</v>
      </c>
      <c r="J186" t="str">
        <f>VLOOKUP(I186, 'State-Regions'!A:B, 2, FALSE)</f>
        <v>Midwest</v>
      </c>
      <c r="K186" s="3">
        <f t="shared" si="2"/>
        <v>2156.4998888961941</v>
      </c>
      <c r="L186" t="s">
        <v>105</v>
      </c>
      <c r="M186" s="3">
        <v>126.8529346409526</v>
      </c>
    </row>
    <row r="187" spans="1:13" x14ac:dyDescent="0.25">
      <c r="A187">
        <v>1184</v>
      </c>
      <c r="B187" s="5">
        <v>44378.995509259257</v>
      </c>
      <c r="C187">
        <v>19597</v>
      </c>
      <c r="D187" t="s">
        <v>38</v>
      </c>
      <c r="E187" t="s">
        <v>25</v>
      </c>
      <c r="F187">
        <v>15</v>
      </c>
      <c r="G187" s="3">
        <v>305.04228094153109</v>
      </c>
      <c r="H187">
        <v>183726</v>
      </c>
      <c r="I187" t="s">
        <v>87</v>
      </c>
      <c r="J187" t="str">
        <f>VLOOKUP(I187, 'State-Regions'!A:B, 2, FALSE)</f>
        <v>South</v>
      </c>
      <c r="K187" s="3">
        <f t="shared" si="2"/>
        <v>4575.6342141229661</v>
      </c>
      <c r="L187" t="s">
        <v>105</v>
      </c>
      <c r="M187" s="3">
        <v>305.04228094153109</v>
      </c>
    </row>
    <row r="188" spans="1:13" x14ac:dyDescent="0.25">
      <c r="A188">
        <v>1185</v>
      </c>
      <c r="B188" s="5">
        <v>44328.151817129627</v>
      </c>
      <c r="C188">
        <v>19560</v>
      </c>
      <c r="D188" t="s">
        <v>47</v>
      </c>
      <c r="E188" t="s">
        <v>25</v>
      </c>
      <c r="F188">
        <v>5</v>
      </c>
      <c r="G188" s="3">
        <v>175.80018629960679</v>
      </c>
      <c r="H188">
        <v>153621</v>
      </c>
      <c r="I188" t="s">
        <v>81</v>
      </c>
      <c r="J188" t="str">
        <f>VLOOKUP(I188, 'State-Regions'!A:B, 2, FALSE)</f>
        <v>South</v>
      </c>
      <c r="K188" s="3">
        <f t="shared" si="2"/>
        <v>879.00093149803399</v>
      </c>
      <c r="L188" t="s">
        <v>105</v>
      </c>
      <c r="M188" s="3">
        <v>175.80018629960679</v>
      </c>
    </row>
    <row r="189" spans="1:13" x14ac:dyDescent="0.25">
      <c r="A189">
        <v>1186</v>
      </c>
      <c r="B189" s="5">
        <v>44428.830127314817</v>
      </c>
      <c r="C189">
        <v>13558</v>
      </c>
      <c r="D189" t="s">
        <v>30</v>
      </c>
      <c r="E189" t="s">
        <v>12</v>
      </c>
      <c r="F189">
        <v>5</v>
      </c>
      <c r="G189" s="3">
        <v>88.304415134492587</v>
      </c>
      <c r="H189">
        <v>161454</v>
      </c>
      <c r="I189" t="s">
        <v>32</v>
      </c>
      <c r="J189" t="str">
        <f>VLOOKUP(I189, 'State-Regions'!A:B, 2, FALSE)</f>
        <v>Midwest</v>
      </c>
      <c r="K189" s="3">
        <f t="shared" si="2"/>
        <v>441.52207567246296</v>
      </c>
      <c r="L189" t="s">
        <v>105</v>
      </c>
      <c r="M189" s="3">
        <v>88.304415134492587</v>
      </c>
    </row>
    <row r="190" spans="1:13" x14ac:dyDescent="0.25">
      <c r="A190">
        <v>1187</v>
      </c>
      <c r="B190" s="5">
        <v>44381.172268518523</v>
      </c>
      <c r="C190">
        <v>11292</v>
      </c>
      <c r="D190" t="s">
        <v>16</v>
      </c>
      <c r="E190" t="s">
        <v>12</v>
      </c>
      <c r="F190">
        <v>13</v>
      </c>
      <c r="G190" s="3">
        <v>73.705039000201481</v>
      </c>
      <c r="H190">
        <v>128369</v>
      </c>
      <c r="I190" t="s">
        <v>78</v>
      </c>
      <c r="J190" t="str">
        <f>VLOOKUP(I190, 'State-Regions'!A:B, 2, FALSE)</f>
        <v>South</v>
      </c>
      <c r="K190" s="3">
        <f t="shared" si="2"/>
        <v>958.16550700261928</v>
      </c>
      <c r="L190" t="s">
        <v>105</v>
      </c>
      <c r="M190" s="3">
        <v>73.705039000201481</v>
      </c>
    </row>
    <row r="191" spans="1:13" x14ac:dyDescent="0.25">
      <c r="A191">
        <v>1188</v>
      </c>
      <c r="B191" s="5">
        <v>44365.49664351852</v>
      </c>
      <c r="C191">
        <v>10139</v>
      </c>
      <c r="D191" t="s">
        <v>43</v>
      </c>
      <c r="E191" t="s">
        <v>31</v>
      </c>
      <c r="F191">
        <v>5</v>
      </c>
      <c r="G191" s="3">
        <v>434.15115550479408</v>
      </c>
      <c r="H191">
        <v>157694</v>
      </c>
      <c r="I191" t="s">
        <v>88</v>
      </c>
      <c r="J191" t="str">
        <f>VLOOKUP(I191, 'State-Regions'!A:B, 2, FALSE)</f>
        <v>Midwest</v>
      </c>
      <c r="K191" s="3">
        <f t="shared" si="2"/>
        <v>2170.7557775239702</v>
      </c>
      <c r="L191" t="s">
        <v>105</v>
      </c>
      <c r="M191" s="3">
        <v>434.15115550479408</v>
      </c>
    </row>
    <row r="192" spans="1:13" x14ac:dyDescent="0.25">
      <c r="A192">
        <v>1189</v>
      </c>
      <c r="B192" s="5">
        <v>44253.300740740742</v>
      </c>
      <c r="C192">
        <v>13744</v>
      </c>
      <c r="D192" t="s">
        <v>61</v>
      </c>
      <c r="E192" t="s">
        <v>25</v>
      </c>
      <c r="F192">
        <v>7</v>
      </c>
      <c r="G192" s="3">
        <v>22.853508296326371</v>
      </c>
      <c r="H192">
        <v>133851</v>
      </c>
      <c r="I192" t="s">
        <v>77</v>
      </c>
      <c r="J192" t="str">
        <f>VLOOKUP(I192, 'State-Regions'!A:B, 2, FALSE)</f>
        <v>South</v>
      </c>
      <c r="K192" s="3">
        <f t="shared" si="2"/>
        <v>159.9745580742846</v>
      </c>
      <c r="L192" t="s">
        <v>105</v>
      </c>
      <c r="M192" s="3">
        <v>22.853508296326371</v>
      </c>
    </row>
    <row r="193" spans="1:13" x14ac:dyDescent="0.25">
      <c r="A193">
        <v>1190</v>
      </c>
      <c r="B193" s="5">
        <v>44250.053171296298</v>
      </c>
      <c r="C193">
        <v>19734</v>
      </c>
      <c r="D193" t="s">
        <v>20</v>
      </c>
      <c r="E193" t="s">
        <v>14</v>
      </c>
      <c r="F193">
        <v>11</v>
      </c>
      <c r="G193" s="3">
        <v>211.4290818285036</v>
      </c>
      <c r="H193">
        <v>127500</v>
      </c>
      <c r="I193" t="s">
        <v>79</v>
      </c>
      <c r="J193" t="str">
        <f>VLOOKUP(I193, 'State-Regions'!A:B, 2, FALSE)</f>
        <v>Midwest</v>
      </c>
      <c r="K193" s="3">
        <f t="shared" si="2"/>
        <v>2325.7199001135396</v>
      </c>
      <c r="L193" t="s">
        <v>105</v>
      </c>
      <c r="M193" s="3">
        <v>211.4290818285036</v>
      </c>
    </row>
    <row r="194" spans="1:13" x14ac:dyDescent="0.25">
      <c r="A194">
        <v>1191</v>
      </c>
      <c r="B194" s="5">
        <v>44406.195173611108</v>
      </c>
      <c r="C194">
        <v>12770</v>
      </c>
      <c r="D194" t="s">
        <v>16</v>
      </c>
      <c r="E194" t="s">
        <v>25</v>
      </c>
      <c r="F194">
        <v>16</v>
      </c>
      <c r="G194" s="3">
        <v>203.97456277181709</v>
      </c>
      <c r="H194">
        <v>128258</v>
      </c>
      <c r="I194" t="s">
        <v>37</v>
      </c>
      <c r="J194" t="str">
        <f>VLOOKUP(I194, 'State-Regions'!A:B, 2, FALSE)</f>
        <v>Northeast</v>
      </c>
      <c r="K194" s="3">
        <f t="shared" si="2"/>
        <v>3263.5930043490735</v>
      </c>
      <c r="L194" t="s">
        <v>105</v>
      </c>
      <c r="M194" s="3">
        <v>203.97456277181709</v>
      </c>
    </row>
    <row r="195" spans="1:13" x14ac:dyDescent="0.25">
      <c r="A195">
        <v>1192</v>
      </c>
      <c r="B195" s="5">
        <v>44518.587175925917</v>
      </c>
      <c r="C195">
        <v>10890</v>
      </c>
      <c r="D195" t="s">
        <v>30</v>
      </c>
      <c r="E195" t="s">
        <v>14</v>
      </c>
      <c r="F195">
        <v>17</v>
      </c>
      <c r="G195" s="3">
        <v>379.37272310062548</v>
      </c>
      <c r="H195">
        <v>134144</v>
      </c>
      <c r="I195" t="s">
        <v>29</v>
      </c>
      <c r="J195" t="str">
        <f>VLOOKUP(I195, 'State-Regions'!A:B, 2, FALSE)</f>
        <v>South</v>
      </c>
      <c r="K195" s="3">
        <f t="shared" si="2"/>
        <v>6449.3362927106327</v>
      </c>
      <c r="L195" t="s">
        <v>105</v>
      </c>
      <c r="M195" s="3">
        <v>379.37272310062548</v>
      </c>
    </row>
    <row r="196" spans="1:13" x14ac:dyDescent="0.25">
      <c r="A196">
        <v>1193</v>
      </c>
      <c r="B196" s="5">
        <v>44542.453738425917</v>
      </c>
      <c r="C196">
        <v>14757</v>
      </c>
      <c r="D196" t="s">
        <v>59</v>
      </c>
      <c r="E196" t="s">
        <v>14</v>
      </c>
      <c r="F196">
        <v>16</v>
      </c>
      <c r="G196" s="3">
        <v>287.48388425601752</v>
      </c>
      <c r="H196">
        <v>169216</v>
      </c>
      <c r="I196" t="s">
        <v>26</v>
      </c>
      <c r="J196" t="str">
        <f>VLOOKUP(I196, 'State-Regions'!A:B, 2, FALSE)</f>
        <v>West</v>
      </c>
      <c r="K196" s="3">
        <f t="shared" si="2"/>
        <v>4599.7421480962803</v>
      </c>
      <c r="L196" t="s">
        <v>105</v>
      </c>
      <c r="M196" s="3">
        <v>287.48388425601752</v>
      </c>
    </row>
    <row r="197" spans="1:13" x14ac:dyDescent="0.25">
      <c r="A197">
        <v>1194</v>
      </c>
      <c r="B197" s="5">
        <v>44511.905057870368</v>
      </c>
      <c r="C197">
        <v>11961</v>
      </c>
      <c r="D197" t="s">
        <v>44</v>
      </c>
      <c r="E197" t="s">
        <v>25</v>
      </c>
      <c r="F197">
        <v>14</v>
      </c>
      <c r="G197" s="3">
        <v>339.51377591426018</v>
      </c>
      <c r="H197">
        <v>112765</v>
      </c>
      <c r="I197" t="s">
        <v>80</v>
      </c>
      <c r="J197" t="str">
        <f>VLOOKUP(I197, 'State-Regions'!A:B, 2, FALSE)</f>
        <v>Northeast</v>
      </c>
      <c r="K197" s="3">
        <f t="shared" si="2"/>
        <v>4753.1928627996422</v>
      </c>
      <c r="L197" t="s">
        <v>105</v>
      </c>
      <c r="M197" s="3">
        <v>339.51377591426018</v>
      </c>
    </row>
    <row r="198" spans="1:13" x14ac:dyDescent="0.25">
      <c r="A198">
        <v>1195</v>
      </c>
      <c r="B198" s="5">
        <v>44308.09710648148</v>
      </c>
      <c r="C198">
        <v>17700</v>
      </c>
      <c r="D198" t="s">
        <v>11</v>
      </c>
      <c r="E198" t="s">
        <v>14</v>
      </c>
      <c r="F198">
        <v>7</v>
      </c>
      <c r="G198" s="3">
        <v>414.29807376333781</v>
      </c>
      <c r="H198">
        <v>135894</v>
      </c>
      <c r="I198" t="s">
        <v>37</v>
      </c>
      <c r="J198" t="str">
        <f>VLOOKUP(I198, 'State-Regions'!A:B, 2, FALSE)</f>
        <v>Northeast</v>
      </c>
      <c r="K198" s="3">
        <f t="shared" ref="K198:K262" si="3">G198*F198</f>
        <v>2900.0865163433646</v>
      </c>
      <c r="L198" t="s">
        <v>105</v>
      </c>
      <c r="M198" s="3">
        <v>414.29807376333781</v>
      </c>
    </row>
    <row r="199" spans="1:13" x14ac:dyDescent="0.25">
      <c r="A199">
        <v>1196</v>
      </c>
      <c r="B199" s="5">
        <v>44520.611319444448</v>
      </c>
      <c r="C199">
        <v>13802</v>
      </c>
      <c r="D199" t="s">
        <v>51</v>
      </c>
      <c r="E199" t="s">
        <v>12</v>
      </c>
      <c r="F199">
        <v>5</v>
      </c>
      <c r="G199" s="3">
        <v>379.3142933445252</v>
      </c>
      <c r="H199">
        <v>120503</v>
      </c>
      <c r="I199" t="s">
        <v>80</v>
      </c>
      <c r="J199" t="str">
        <f>VLOOKUP(I199, 'State-Regions'!A:B, 2, FALSE)</f>
        <v>Northeast</v>
      </c>
      <c r="K199" s="3">
        <f t="shared" si="3"/>
        <v>1896.5714667226259</v>
      </c>
      <c r="L199" t="s">
        <v>105</v>
      </c>
      <c r="M199" s="3">
        <v>379.3142933445252</v>
      </c>
    </row>
    <row r="200" spans="1:13" x14ac:dyDescent="0.25">
      <c r="A200">
        <v>1197</v>
      </c>
      <c r="B200" s="5">
        <v>44524.379537037043</v>
      </c>
      <c r="C200">
        <v>14241</v>
      </c>
      <c r="D200" t="s">
        <v>38</v>
      </c>
      <c r="E200" t="s">
        <v>14</v>
      </c>
      <c r="F200">
        <v>7</v>
      </c>
      <c r="G200" s="3">
        <v>92.187291779065973</v>
      </c>
      <c r="H200">
        <v>105482</v>
      </c>
      <c r="I200" t="s">
        <v>71</v>
      </c>
      <c r="J200" t="str">
        <f>VLOOKUP(I200, 'State-Regions'!A:B, 2, FALSE)</f>
        <v>South</v>
      </c>
      <c r="K200" s="3">
        <f t="shared" si="3"/>
        <v>645.31104245346182</v>
      </c>
      <c r="L200" t="s">
        <v>105</v>
      </c>
      <c r="M200" s="3">
        <v>92.187291779065973</v>
      </c>
    </row>
    <row r="201" spans="1:13" x14ac:dyDescent="0.25">
      <c r="A201">
        <v>1198</v>
      </c>
      <c r="B201" s="5">
        <v>44423.613564814812</v>
      </c>
      <c r="C201">
        <v>13036</v>
      </c>
      <c r="D201" t="s">
        <v>34</v>
      </c>
      <c r="E201" t="s">
        <v>12</v>
      </c>
      <c r="F201">
        <v>9</v>
      </c>
      <c r="G201" s="3">
        <v>275.34975524403762</v>
      </c>
      <c r="H201">
        <v>136919</v>
      </c>
      <c r="I201" t="s">
        <v>67</v>
      </c>
      <c r="J201" t="str">
        <f>VLOOKUP(I201, 'State-Regions'!A:B, 2, FALSE)</f>
        <v>West</v>
      </c>
      <c r="K201" s="3">
        <f t="shared" si="3"/>
        <v>2478.1477971963386</v>
      </c>
      <c r="L201" t="s">
        <v>105</v>
      </c>
      <c r="M201" s="3">
        <v>275.34975524403762</v>
      </c>
    </row>
    <row r="202" spans="1:13" x14ac:dyDescent="0.25">
      <c r="A202">
        <v>1199</v>
      </c>
      <c r="B202" s="5">
        <v>44357.586053240739</v>
      </c>
      <c r="C202">
        <v>18224</v>
      </c>
      <c r="D202" t="s">
        <v>22</v>
      </c>
      <c r="E202" t="s">
        <v>12</v>
      </c>
      <c r="F202">
        <v>5</v>
      </c>
      <c r="G202" s="3">
        <v>213.4591025384463</v>
      </c>
      <c r="H202">
        <v>141951</v>
      </c>
      <c r="I202" t="s">
        <v>32</v>
      </c>
      <c r="J202" t="str">
        <f>VLOOKUP(I202, 'State-Regions'!A:B, 2, FALSE)</f>
        <v>Midwest</v>
      </c>
      <c r="K202" s="3">
        <f t="shared" si="3"/>
        <v>1067.2955126922316</v>
      </c>
      <c r="L202" t="s">
        <v>105</v>
      </c>
      <c r="M202" s="3">
        <v>213.4591025384463</v>
      </c>
    </row>
    <row r="203" spans="1:13" x14ac:dyDescent="0.25">
      <c r="A203">
        <v>1200</v>
      </c>
      <c r="B203" s="5">
        <v>44300.579004629632</v>
      </c>
      <c r="C203">
        <v>19623</v>
      </c>
      <c r="D203" t="s">
        <v>51</v>
      </c>
      <c r="E203" t="s">
        <v>31</v>
      </c>
      <c r="F203">
        <v>4</v>
      </c>
      <c r="G203" s="3">
        <v>452.49350645213349</v>
      </c>
      <c r="H203">
        <v>156368</v>
      </c>
      <c r="I203" t="s">
        <v>77</v>
      </c>
      <c r="J203" t="str">
        <f>VLOOKUP(I203, 'State-Regions'!A:B, 2, FALSE)</f>
        <v>South</v>
      </c>
      <c r="K203" s="3">
        <f t="shared" si="3"/>
        <v>1809.974025808534</v>
      </c>
      <c r="L203" t="s">
        <v>105</v>
      </c>
      <c r="M203" s="3">
        <v>452.49350645213349</v>
      </c>
    </row>
    <row r="204" spans="1:13" x14ac:dyDescent="0.25">
      <c r="A204">
        <v>1201</v>
      </c>
      <c r="B204" s="5">
        <v>44530.463460648149</v>
      </c>
      <c r="C204">
        <v>13118</v>
      </c>
      <c r="D204" t="s">
        <v>51</v>
      </c>
      <c r="E204" t="s">
        <v>31</v>
      </c>
      <c r="F204">
        <v>3</v>
      </c>
      <c r="G204" s="3">
        <v>223.42179430290889</v>
      </c>
      <c r="H204">
        <v>161078</v>
      </c>
      <c r="I204" t="s">
        <v>84</v>
      </c>
      <c r="J204" t="str">
        <f>VLOOKUP(I204, 'State-Regions'!A:B, 2, FALSE)</f>
        <v>Northeast</v>
      </c>
      <c r="K204" s="3">
        <f t="shared" si="3"/>
        <v>670.26538290872668</v>
      </c>
      <c r="L204" t="s">
        <v>105</v>
      </c>
      <c r="M204" s="3">
        <v>223.42179430290889</v>
      </c>
    </row>
    <row r="205" spans="1:13" x14ac:dyDescent="0.25">
      <c r="A205">
        <v>1202</v>
      </c>
      <c r="B205" s="5">
        <v>44209.548379629632</v>
      </c>
      <c r="C205">
        <v>19356</v>
      </c>
      <c r="D205" t="s">
        <v>20</v>
      </c>
      <c r="E205" t="s">
        <v>31</v>
      </c>
      <c r="F205">
        <v>2</v>
      </c>
      <c r="G205" s="3">
        <v>464.27069037764898</v>
      </c>
      <c r="H205">
        <v>147190</v>
      </c>
      <c r="I205" t="s">
        <v>41</v>
      </c>
      <c r="J205" t="str">
        <f>VLOOKUP(I205, 'State-Regions'!A:B, 2, FALSE)</f>
        <v>Midwest</v>
      </c>
      <c r="K205" s="3">
        <f t="shared" si="3"/>
        <v>928.54138075529795</v>
      </c>
      <c r="L205" t="s">
        <v>105</v>
      </c>
      <c r="M205" s="3">
        <v>464.27069037764898</v>
      </c>
    </row>
    <row r="206" spans="1:13" x14ac:dyDescent="0.25">
      <c r="A206">
        <v>1203</v>
      </c>
      <c r="B206" s="5">
        <v>44428.120509259257</v>
      </c>
      <c r="C206">
        <v>17374</v>
      </c>
      <c r="D206" t="s">
        <v>20</v>
      </c>
      <c r="E206" t="s">
        <v>25</v>
      </c>
      <c r="F206">
        <v>19</v>
      </c>
      <c r="G206" s="3">
        <v>39.813877995703422</v>
      </c>
      <c r="H206">
        <v>190038</v>
      </c>
      <c r="I206" t="s">
        <v>60</v>
      </c>
      <c r="J206" t="str">
        <f>VLOOKUP(I206, 'State-Regions'!A:B, 2, FALSE)</f>
        <v>South</v>
      </c>
      <c r="K206" s="3">
        <f t="shared" si="3"/>
        <v>756.46368191836495</v>
      </c>
      <c r="L206" t="s">
        <v>105</v>
      </c>
      <c r="M206" s="3">
        <v>39.813877995703422</v>
      </c>
    </row>
    <row r="207" spans="1:13" x14ac:dyDescent="0.25">
      <c r="A207">
        <v>1204</v>
      </c>
      <c r="B207" s="5">
        <v>44250.573564814818</v>
      </c>
      <c r="C207">
        <v>18654</v>
      </c>
      <c r="D207" t="s">
        <v>61</v>
      </c>
      <c r="E207" t="s">
        <v>12</v>
      </c>
      <c r="F207">
        <v>15</v>
      </c>
      <c r="G207" s="3">
        <v>71.639819533460155</v>
      </c>
      <c r="H207">
        <v>102027</v>
      </c>
      <c r="I207" t="s">
        <v>32</v>
      </c>
      <c r="J207" t="str">
        <f>VLOOKUP(I207, 'State-Regions'!A:B, 2, FALSE)</f>
        <v>Midwest</v>
      </c>
      <c r="K207" s="3">
        <f t="shared" si="3"/>
        <v>1074.5972930019022</v>
      </c>
      <c r="L207" t="s">
        <v>105</v>
      </c>
      <c r="M207" s="3">
        <v>71.639819533460155</v>
      </c>
    </row>
    <row r="208" spans="1:13" x14ac:dyDescent="0.25">
      <c r="A208">
        <v>1205</v>
      </c>
      <c r="B208" s="5">
        <v>44214.630706018521</v>
      </c>
      <c r="C208">
        <v>18224</v>
      </c>
      <c r="D208" t="s">
        <v>16</v>
      </c>
      <c r="E208" t="s">
        <v>14</v>
      </c>
      <c r="F208">
        <v>7</v>
      </c>
      <c r="G208" s="3">
        <v>27.787190411337761</v>
      </c>
      <c r="H208">
        <v>119808</v>
      </c>
      <c r="I208" t="s">
        <v>63</v>
      </c>
      <c r="J208" t="str">
        <f>VLOOKUP(I208, 'State-Regions'!A:B, 2, FALSE)</f>
        <v>Midwest</v>
      </c>
      <c r="K208" s="3">
        <f t="shared" si="3"/>
        <v>194.51033287936434</v>
      </c>
      <c r="L208" t="s">
        <v>105</v>
      </c>
      <c r="M208" s="3">
        <v>27.787190411337761</v>
      </c>
    </row>
    <row r="209" spans="1:13" x14ac:dyDescent="0.25">
      <c r="A209">
        <v>1206</v>
      </c>
      <c r="B209" s="5">
        <v>44503.473240740743</v>
      </c>
      <c r="C209">
        <v>15644</v>
      </c>
      <c r="D209" t="s">
        <v>43</v>
      </c>
      <c r="E209" t="s">
        <v>12</v>
      </c>
      <c r="F209">
        <v>6</v>
      </c>
      <c r="G209" s="3">
        <v>350.31526229010939</v>
      </c>
      <c r="H209">
        <v>146589</v>
      </c>
      <c r="I209" t="s">
        <v>42</v>
      </c>
      <c r="J209" t="str">
        <f>VLOOKUP(I209, 'State-Regions'!A:B, 2, FALSE)</f>
        <v>West</v>
      </c>
      <c r="K209" s="3">
        <f t="shared" si="3"/>
        <v>2101.8915737406564</v>
      </c>
      <c r="L209" t="s">
        <v>105</v>
      </c>
      <c r="M209" s="3">
        <v>350.31526229010939</v>
      </c>
    </row>
    <row r="210" spans="1:13" x14ac:dyDescent="0.25">
      <c r="A210">
        <v>1207</v>
      </c>
      <c r="B210" s="5">
        <v>44417.230532407397</v>
      </c>
      <c r="C210">
        <v>14641</v>
      </c>
      <c r="D210" t="s">
        <v>47</v>
      </c>
      <c r="E210" t="s">
        <v>31</v>
      </c>
      <c r="F210">
        <v>6</v>
      </c>
      <c r="G210" s="3">
        <v>220.01745741012661</v>
      </c>
      <c r="H210">
        <v>195892</v>
      </c>
      <c r="I210" t="s">
        <v>55</v>
      </c>
      <c r="J210" t="str">
        <f>VLOOKUP(I210, 'State-Regions'!A:B, 2, FALSE)</f>
        <v>Northeast</v>
      </c>
      <c r="K210" s="3">
        <f t="shared" si="3"/>
        <v>1320.1047444607598</v>
      </c>
      <c r="L210" t="s">
        <v>105</v>
      </c>
      <c r="M210" s="3">
        <v>220.01745741012661</v>
      </c>
    </row>
    <row r="211" spans="1:13" x14ac:dyDescent="0.25">
      <c r="A211">
        <v>1208</v>
      </c>
      <c r="B211" s="5">
        <v>44428.325185185182</v>
      </c>
      <c r="C211">
        <v>13356</v>
      </c>
      <c r="D211" t="s">
        <v>18</v>
      </c>
      <c r="E211" t="s">
        <v>25</v>
      </c>
      <c r="F211">
        <v>9</v>
      </c>
      <c r="G211" s="3">
        <v>476.49959980156711</v>
      </c>
      <c r="H211">
        <v>120109</v>
      </c>
      <c r="I211" t="s">
        <v>26</v>
      </c>
      <c r="J211" t="str">
        <f>VLOOKUP(I211, 'State-Regions'!A:B, 2, FALSE)</f>
        <v>West</v>
      </c>
      <c r="K211" s="3">
        <f t="shared" si="3"/>
        <v>4288.4963982141044</v>
      </c>
      <c r="L211" t="s">
        <v>105</v>
      </c>
      <c r="M211" s="3">
        <v>476.49959980156711</v>
      </c>
    </row>
    <row r="212" spans="1:13" x14ac:dyDescent="0.25">
      <c r="A212">
        <v>1209</v>
      </c>
      <c r="B212" s="5">
        <v>44271.804988425924</v>
      </c>
      <c r="C212">
        <v>16797</v>
      </c>
      <c r="D212" t="s">
        <v>73</v>
      </c>
      <c r="E212" t="s">
        <v>12</v>
      </c>
      <c r="F212">
        <v>5</v>
      </c>
      <c r="G212" s="3">
        <v>211.7272079410352</v>
      </c>
      <c r="H212">
        <v>177118</v>
      </c>
      <c r="I212" t="s">
        <v>19</v>
      </c>
      <c r="J212" t="str">
        <f>VLOOKUP(I212, 'State-Regions'!A:B, 2, FALSE)</f>
        <v>South</v>
      </c>
      <c r="K212" s="3">
        <f t="shared" si="3"/>
        <v>1058.636039705176</v>
      </c>
      <c r="L212" t="s">
        <v>105</v>
      </c>
      <c r="M212" s="3">
        <v>211.7272079410352</v>
      </c>
    </row>
    <row r="213" spans="1:13" x14ac:dyDescent="0.25">
      <c r="A213">
        <v>1210</v>
      </c>
      <c r="B213" s="5">
        <v>44448.228125000001</v>
      </c>
      <c r="C213">
        <v>16780</v>
      </c>
      <c r="D213" t="s">
        <v>59</v>
      </c>
      <c r="E213" t="s">
        <v>31</v>
      </c>
      <c r="F213">
        <v>15</v>
      </c>
      <c r="G213" s="3">
        <v>150.5176227393404</v>
      </c>
      <c r="H213">
        <v>126566</v>
      </c>
      <c r="I213" t="s">
        <v>80</v>
      </c>
      <c r="J213" t="str">
        <f>VLOOKUP(I213, 'State-Regions'!A:B, 2, FALSE)</f>
        <v>Northeast</v>
      </c>
      <c r="K213" s="3">
        <f t="shared" si="3"/>
        <v>2257.764341090106</v>
      </c>
      <c r="L213" t="s">
        <v>105</v>
      </c>
      <c r="M213" s="3">
        <v>150.5176227393404</v>
      </c>
    </row>
    <row r="214" spans="1:13" x14ac:dyDescent="0.25">
      <c r="A214">
        <v>1211</v>
      </c>
      <c r="B214" s="5">
        <v>44381.730243055557</v>
      </c>
      <c r="C214">
        <v>19804</v>
      </c>
      <c r="D214" t="s">
        <v>52</v>
      </c>
      <c r="E214" t="s">
        <v>31</v>
      </c>
      <c r="F214">
        <v>1</v>
      </c>
      <c r="G214" s="3">
        <v>296.74535624091823</v>
      </c>
      <c r="H214">
        <v>102405</v>
      </c>
      <c r="I214" t="s">
        <v>62</v>
      </c>
      <c r="J214" t="str">
        <f>VLOOKUP(I214, 'State-Regions'!A:B, 2, FALSE)</f>
        <v>South</v>
      </c>
      <c r="K214" s="3">
        <f t="shared" si="3"/>
        <v>296.74535624091823</v>
      </c>
      <c r="L214" t="s">
        <v>105</v>
      </c>
      <c r="M214" s="3">
        <v>296.74535624091823</v>
      </c>
    </row>
    <row r="215" spans="1:13" x14ac:dyDescent="0.25">
      <c r="A215">
        <v>1212</v>
      </c>
      <c r="B215" s="5">
        <v>44347.296180555553</v>
      </c>
      <c r="C215">
        <v>10287</v>
      </c>
      <c r="D215" t="s">
        <v>61</v>
      </c>
      <c r="E215" t="s">
        <v>31</v>
      </c>
      <c r="F215">
        <v>3</v>
      </c>
      <c r="G215" s="3">
        <v>419.11931087655722</v>
      </c>
      <c r="H215">
        <v>160990</v>
      </c>
      <c r="I215" t="s">
        <v>67</v>
      </c>
      <c r="J215" t="str">
        <f>VLOOKUP(I215, 'State-Regions'!A:B, 2, FALSE)</f>
        <v>West</v>
      </c>
      <c r="K215" s="3">
        <f t="shared" si="3"/>
        <v>1257.3579326296717</v>
      </c>
      <c r="L215" t="s">
        <v>105</v>
      </c>
      <c r="M215" s="3">
        <v>419.11931087655722</v>
      </c>
    </row>
    <row r="216" spans="1:13" x14ac:dyDescent="0.25">
      <c r="A216">
        <v>1213</v>
      </c>
      <c r="B216" s="5">
        <v>44418.456875000003</v>
      </c>
      <c r="C216">
        <v>19167</v>
      </c>
      <c r="D216" t="s">
        <v>38</v>
      </c>
      <c r="E216" t="s">
        <v>31</v>
      </c>
      <c r="F216">
        <v>11</v>
      </c>
      <c r="G216" s="3">
        <v>365.58697927963289</v>
      </c>
      <c r="H216">
        <v>157122</v>
      </c>
      <c r="I216" t="s">
        <v>79</v>
      </c>
      <c r="J216" t="str">
        <f>VLOOKUP(I216, 'State-Regions'!A:B, 2, FALSE)</f>
        <v>Midwest</v>
      </c>
      <c r="K216" s="3">
        <f t="shared" si="3"/>
        <v>4021.4567720759619</v>
      </c>
      <c r="L216" t="s">
        <v>105</v>
      </c>
      <c r="M216" s="3">
        <v>365.58697927963289</v>
      </c>
    </row>
    <row r="217" spans="1:13" x14ac:dyDescent="0.25">
      <c r="A217">
        <v>1214</v>
      </c>
      <c r="B217" s="5">
        <v>44206.792905092603</v>
      </c>
      <c r="C217">
        <v>17276</v>
      </c>
      <c r="D217" t="s">
        <v>59</v>
      </c>
      <c r="E217" t="s">
        <v>12</v>
      </c>
      <c r="F217">
        <v>16</v>
      </c>
      <c r="G217" s="3">
        <v>354.96854587674699</v>
      </c>
      <c r="H217">
        <v>178053</v>
      </c>
      <c r="I217" t="s">
        <v>82</v>
      </c>
      <c r="J217" t="str">
        <f>VLOOKUP(I217, 'State-Regions'!A:B, 2, FALSE)</f>
        <v>West</v>
      </c>
      <c r="K217" s="3">
        <f t="shared" si="3"/>
        <v>5679.4967340279518</v>
      </c>
      <c r="L217" t="s">
        <v>105</v>
      </c>
      <c r="M217" s="3">
        <v>354.96854587674699</v>
      </c>
    </row>
    <row r="218" spans="1:13" x14ac:dyDescent="0.25">
      <c r="A218">
        <v>1215</v>
      </c>
      <c r="B218" s="5">
        <v>44321.796550925923</v>
      </c>
      <c r="C218">
        <v>16873</v>
      </c>
      <c r="D218" t="s">
        <v>40</v>
      </c>
      <c r="E218" t="s">
        <v>31</v>
      </c>
      <c r="F218">
        <v>4</v>
      </c>
      <c r="G218" s="3">
        <v>36.549225590547387</v>
      </c>
      <c r="H218">
        <v>197766</v>
      </c>
      <c r="I218" t="s">
        <v>55</v>
      </c>
      <c r="J218" t="str">
        <f>VLOOKUP(I218, 'State-Regions'!A:B, 2, FALSE)</f>
        <v>Northeast</v>
      </c>
      <c r="K218" s="3">
        <f t="shared" si="3"/>
        <v>146.19690236218955</v>
      </c>
      <c r="L218" t="s">
        <v>105</v>
      </c>
      <c r="M218" s="3">
        <v>36.549225590547387</v>
      </c>
    </row>
    <row r="219" spans="1:13" x14ac:dyDescent="0.25">
      <c r="A219">
        <v>1216</v>
      </c>
      <c r="B219" s="5">
        <v>44554.621215277781</v>
      </c>
      <c r="C219">
        <v>17386</v>
      </c>
      <c r="D219" t="s">
        <v>27</v>
      </c>
      <c r="E219" t="s">
        <v>25</v>
      </c>
      <c r="F219">
        <v>10</v>
      </c>
      <c r="G219" s="3">
        <v>264.31420293385878</v>
      </c>
      <c r="H219">
        <v>106690</v>
      </c>
      <c r="I219" t="s">
        <v>42</v>
      </c>
      <c r="J219" t="str">
        <f>VLOOKUP(I219, 'State-Regions'!A:B, 2, FALSE)</f>
        <v>West</v>
      </c>
      <c r="K219" s="3">
        <f t="shared" si="3"/>
        <v>2643.1420293385877</v>
      </c>
      <c r="L219" t="s">
        <v>105</v>
      </c>
      <c r="M219" s="3">
        <v>264.31420293385878</v>
      </c>
    </row>
    <row r="220" spans="1:13" x14ac:dyDescent="0.25">
      <c r="A220">
        <v>1217</v>
      </c>
      <c r="B220" s="5">
        <v>44468.942800925928</v>
      </c>
      <c r="C220">
        <v>13545</v>
      </c>
      <c r="D220" t="s">
        <v>34</v>
      </c>
      <c r="E220" t="s">
        <v>25</v>
      </c>
      <c r="F220">
        <v>10</v>
      </c>
      <c r="G220" s="3">
        <f>AVERAGE(M:M)</f>
        <v>262.93599539610597</v>
      </c>
      <c r="H220">
        <v>111571</v>
      </c>
      <c r="I220" t="s">
        <v>13</v>
      </c>
      <c r="J220" t="str">
        <f>VLOOKUP(I220, 'State-Regions'!A:B, 2, FALSE)</f>
        <v>Midwest</v>
      </c>
      <c r="K220" s="3">
        <f t="shared" si="3"/>
        <v>2629.3599539610595</v>
      </c>
      <c r="L220" t="s">
        <v>105</v>
      </c>
    </row>
    <row r="221" spans="1:13" x14ac:dyDescent="0.25">
      <c r="A221">
        <v>1218</v>
      </c>
      <c r="B221" s="5">
        <v>44403.100821759261</v>
      </c>
      <c r="C221">
        <v>19063</v>
      </c>
      <c r="D221" t="s">
        <v>22</v>
      </c>
      <c r="E221" t="s">
        <v>14</v>
      </c>
      <c r="F221">
        <v>19</v>
      </c>
      <c r="G221" s="3">
        <v>489.51998330943121</v>
      </c>
      <c r="H221">
        <v>112638</v>
      </c>
      <c r="I221" t="s">
        <v>58</v>
      </c>
      <c r="J221" t="str">
        <f>VLOOKUP(I221, 'State-Regions'!A:B, 2, FALSE)</f>
        <v>Midwest</v>
      </c>
      <c r="K221" s="3">
        <f t="shared" si="3"/>
        <v>9300.8796828791928</v>
      </c>
      <c r="L221" t="s">
        <v>105</v>
      </c>
      <c r="M221" s="3">
        <v>489.51998330943121</v>
      </c>
    </row>
    <row r="222" spans="1:13" x14ac:dyDescent="0.25">
      <c r="A222">
        <v>1219</v>
      </c>
      <c r="B222" s="5">
        <v>44330.217129629629</v>
      </c>
      <c r="C222">
        <v>14856</v>
      </c>
      <c r="D222" t="s">
        <v>40</v>
      </c>
      <c r="E222" t="s">
        <v>31</v>
      </c>
      <c r="F222">
        <v>7</v>
      </c>
      <c r="G222" s="3">
        <v>312.34297778979749</v>
      </c>
      <c r="H222">
        <v>165706</v>
      </c>
      <c r="I222" t="s">
        <v>45</v>
      </c>
      <c r="J222" t="str">
        <f>VLOOKUP(I222, 'State-Regions'!A:B, 2, FALSE)</f>
        <v>South</v>
      </c>
      <c r="K222" s="3">
        <f t="shared" si="3"/>
        <v>2186.4008445285826</v>
      </c>
      <c r="L222" t="s">
        <v>105</v>
      </c>
      <c r="M222" s="3">
        <v>312.34297778979749</v>
      </c>
    </row>
    <row r="223" spans="1:13" x14ac:dyDescent="0.25">
      <c r="A223">
        <v>1220</v>
      </c>
      <c r="B223" s="5">
        <v>44261.82644675926</v>
      </c>
      <c r="C223">
        <v>15998</v>
      </c>
      <c r="D223" t="s">
        <v>47</v>
      </c>
      <c r="E223" t="s">
        <v>31</v>
      </c>
      <c r="F223">
        <v>13</v>
      </c>
      <c r="G223" s="3">
        <v>250.7421662511222</v>
      </c>
      <c r="H223">
        <v>147622</v>
      </c>
      <c r="I223" t="s">
        <v>60</v>
      </c>
      <c r="J223" t="str">
        <f>VLOOKUP(I223, 'State-Regions'!A:B, 2, FALSE)</f>
        <v>South</v>
      </c>
      <c r="K223" s="3">
        <f t="shared" si="3"/>
        <v>3259.6481612645885</v>
      </c>
      <c r="L223" t="s">
        <v>105</v>
      </c>
      <c r="M223" s="3">
        <v>250.7421662511222</v>
      </c>
    </row>
    <row r="224" spans="1:13" x14ac:dyDescent="0.25">
      <c r="A224">
        <v>1221</v>
      </c>
      <c r="B224" s="5">
        <v>44248.0937037037</v>
      </c>
      <c r="C224">
        <v>11004</v>
      </c>
      <c r="D224" t="s">
        <v>43</v>
      </c>
      <c r="E224" t="s">
        <v>25</v>
      </c>
      <c r="F224">
        <v>12</v>
      </c>
      <c r="G224" s="3">
        <v>303.25890217699902</v>
      </c>
      <c r="H224">
        <v>180028</v>
      </c>
      <c r="I224" t="s">
        <v>71</v>
      </c>
      <c r="J224" t="str">
        <f>VLOOKUP(I224, 'State-Regions'!A:B, 2, FALSE)</f>
        <v>South</v>
      </c>
      <c r="K224" s="3">
        <f t="shared" si="3"/>
        <v>3639.106826123988</v>
      </c>
      <c r="L224" t="s">
        <v>105</v>
      </c>
      <c r="M224" s="3">
        <v>303.25890217699902</v>
      </c>
    </row>
    <row r="225" spans="1:13" x14ac:dyDescent="0.25">
      <c r="A225">
        <v>1222</v>
      </c>
      <c r="B225" s="5">
        <v>44302.345567129632</v>
      </c>
      <c r="C225">
        <v>15825</v>
      </c>
      <c r="D225" t="s">
        <v>47</v>
      </c>
      <c r="E225" t="s">
        <v>31</v>
      </c>
      <c r="F225">
        <v>1</v>
      </c>
      <c r="G225" s="3">
        <v>385.96318023396788</v>
      </c>
      <c r="H225">
        <v>131564</v>
      </c>
      <c r="I225" t="s">
        <v>78</v>
      </c>
      <c r="J225" t="str">
        <f>VLOOKUP(I225, 'State-Regions'!A:B, 2, FALSE)</f>
        <v>South</v>
      </c>
      <c r="K225" s="3">
        <f t="shared" si="3"/>
        <v>385.96318023396788</v>
      </c>
      <c r="L225" t="s">
        <v>105</v>
      </c>
      <c r="M225" s="3">
        <v>385.96318023396788</v>
      </c>
    </row>
    <row r="226" spans="1:13" x14ac:dyDescent="0.25">
      <c r="A226">
        <v>1223</v>
      </c>
      <c r="B226" s="5">
        <v>44560.861400462964</v>
      </c>
      <c r="C226">
        <v>17091</v>
      </c>
      <c r="D226" t="s">
        <v>51</v>
      </c>
      <c r="E226" t="s">
        <v>25</v>
      </c>
      <c r="F226">
        <v>18</v>
      </c>
      <c r="G226" s="3">
        <v>131.69839779721161</v>
      </c>
      <c r="H226">
        <v>192080</v>
      </c>
      <c r="I226" t="s">
        <v>70</v>
      </c>
      <c r="J226" t="str">
        <f>VLOOKUP(I226, 'State-Regions'!A:B, 2, FALSE)</f>
        <v>West</v>
      </c>
      <c r="K226" s="3">
        <f t="shared" si="3"/>
        <v>2370.5711603498089</v>
      </c>
      <c r="L226" t="s">
        <v>105</v>
      </c>
      <c r="M226" s="3">
        <v>131.69839779721161</v>
      </c>
    </row>
    <row r="227" spans="1:13" x14ac:dyDescent="0.25">
      <c r="A227">
        <v>1224</v>
      </c>
      <c r="B227" s="5">
        <v>44400.960995370369</v>
      </c>
      <c r="C227">
        <v>13901</v>
      </c>
      <c r="D227" t="s">
        <v>89</v>
      </c>
      <c r="E227" t="s">
        <v>25</v>
      </c>
      <c r="F227">
        <v>14</v>
      </c>
      <c r="G227" s="3">
        <v>376.90480398283353</v>
      </c>
      <c r="H227">
        <v>180306</v>
      </c>
      <c r="I227" t="s">
        <v>57</v>
      </c>
      <c r="J227" t="str">
        <f>VLOOKUP(I227, 'State-Regions'!A:B, 2, FALSE)</f>
        <v>South</v>
      </c>
      <c r="K227" s="3">
        <f t="shared" si="3"/>
        <v>5276.6672557596694</v>
      </c>
      <c r="L227" t="s">
        <v>105</v>
      </c>
      <c r="M227" s="3">
        <v>376.90480398283353</v>
      </c>
    </row>
    <row r="228" spans="1:13" x14ac:dyDescent="0.25">
      <c r="A228">
        <v>1225</v>
      </c>
      <c r="B228" s="5">
        <v>44510.114363425928</v>
      </c>
      <c r="C228">
        <v>16839</v>
      </c>
      <c r="D228" t="s">
        <v>36</v>
      </c>
      <c r="E228" t="s">
        <v>14</v>
      </c>
      <c r="F228">
        <v>18</v>
      </c>
      <c r="G228" s="3">
        <v>227.01025745829341</v>
      </c>
      <c r="H228">
        <v>117599</v>
      </c>
      <c r="I228" t="s">
        <v>29</v>
      </c>
      <c r="J228" t="str">
        <f>VLOOKUP(I228, 'State-Regions'!A:B, 2, FALSE)</f>
        <v>South</v>
      </c>
      <c r="K228" s="3">
        <f t="shared" si="3"/>
        <v>4086.1846342492813</v>
      </c>
      <c r="L228" t="s">
        <v>105</v>
      </c>
      <c r="M228" s="3">
        <v>227.01025745829341</v>
      </c>
    </row>
    <row r="229" spans="1:13" x14ac:dyDescent="0.25">
      <c r="A229">
        <v>1226</v>
      </c>
      <c r="B229" s="5">
        <v>44483.62027777778</v>
      </c>
      <c r="C229">
        <v>15718</v>
      </c>
      <c r="D229" t="s">
        <v>44</v>
      </c>
      <c r="E229" t="s">
        <v>12</v>
      </c>
      <c r="F229">
        <v>1</v>
      </c>
      <c r="G229" s="3">
        <f>AVERAGE(M:M)</f>
        <v>262.93599539610597</v>
      </c>
      <c r="H229">
        <v>150507</v>
      </c>
      <c r="I229" t="s">
        <v>21</v>
      </c>
      <c r="J229" t="str">
        <f>VLOOKUP(I229, 'State-Regions'!A:B, 2, FALSE)</f>
        <v>Northeast</v>
      </c>
      <c r="K229" s="3">
        <f t="shared" si="3"/>
        <v>262.93599539610597</v>
      </c>
      <c r="L229" t="s">
        <v>105</v>
      </c>
    </row>
    <row r="230" spans="1:13" x14ac:dyDescent="0.25">
      <c r="A230">
        <v>1227</v>
      </c>
      <c r="B230" s="5">
        <v>44227.460717592592</v>
      </c>
      <c r="C230">
        <v>13791</v>
      </c>
      <c r="D230" t="s">
        <v>34</v>
      </c>
      <c r="E230" t="s">
        <v>31</v>
      </c>
      <c r="F230">
        <v>6</v>
      </c>
      <c r="G230" s="3">
        <v>74.518829181083788</v>
      </c>
      <c r="H230">
        <v>194954</v>
      </c>
      <c r="I230" t="s">
        <v>21</v>
      </c>
      <c r="J230" t="str">
        <f>VLOOKUP(I230, 'State-Regions'!A:B, 2, FALSE)</f>
        <v>Northeast</v>
      </c>
      <c r="K230" s="3">
        <f t="shared" si="3"/>
        <v>447.11297508650273</v>
      </c>
      <c r="L230" t="s">
        <v>105</v>
      </c>
      <c r="M230" s="3">
        <v>74.518829181083788</v>
      </c>
    </row>
    <row r="231" spans="1:13" x14ac:dyDescent="0.25">
      <c r="A231">
        <v>1228</v>
      </c>
      <c r="B231" s="5">
        <v>44473.604722222219</v>
      </c>
      <c r="C231">
        <v>12247</v>
      </c>
      <c r="D231" t="s">
        <v>90</v>
      </c>
      <c r="E231" t="s">
        <v>12</v>
      </c>
      <c r="F231">
        <v>19</v>
      </c>
      <c r="G231" s="3">
        <v>315.99917674005462</v>
      </c>
      <c r="H231">
        <v>179540</v>
      </c>
      <c r="I231" t="s">
        <v>82</v>
      </c>
      <c r="J231" t="str">
        <f>VLOOKUP(I231, 'State-Regions'!A:B, 2, FALSE)</f>
        <v>West</v>
      </c>
      <c r="K231" s="3">
        <f t="shared" si="3"/>
        <v>6003.9843580610377</v>
      </c>
      <c r="L231" t="s">
        <v>105</v>
      </c>
      <c r="M231" s="3">
        <v>315.99917674005462</v>
      </c>
    </row>
    <row r="232" spans="1:13" x14ac:dyDescent="0.25">
      <c r="A232">
        <v>1229</v>
      </c>
      <c r="B232" s="5">
        <v>44386.962951388887</v>
      </c>
      <c r="C232">
        <v>13964</v>
      </c>
      <c r="D232" t="s">
        <v>40</v>
      </c>
      <c r="E232" t="s">
        <v>14</v>
      </c>
      <c r="F232">
        <v>1</v>
      </c>
      <c r="G232" s="3">
        <v>121.1702373621825</v>
      </c>
      <c r="H232">
        <v>109589</v>
      </c>
      <c r="I232" t="s">
        <v>35</v>
      </c>
      <c r="J232" t="str">
        <f>VLOOKUP(I232, 'State-Regions'!A:B, 2, FALSE)</f>
        <v>West</v>
      </c>
      <c r="K232" s="3">
        <f t="shared" si="3"/>
        <v>121.1702373621825</v>
      </c>
      <c r="L232" t="s">
        <v>105</v>
      </c>
      <c r="M232" s="3">
        <v>121.1702373621825</v>
      </c>
    </row>
    <row r="233" spans="1:13" x14ac:dyDescent="0.25">
      <c r="A233">
        <v>1230</v>
      </c>
      <c r="B233" s="5">
        <v>44419.179016203707</v>
      </c>
      <c r="C233">
        <v>17910</v>
      </c>
      <c r="D233" t="s">
        <v>61</v>
      </c>
      <c r="E233" t="s">
        <v>12</v>
      </c>
      <c r="F233">
        <v>11</v>
      </c>
      <c r="G233" s="3">
        <v>459.42434379354421</v>
      </c>
      <c r="H233">
        <v>113388</v>
      </c>
      <c r="I233" t="s">
        <v>53</v>
      </c>
      <c r="J233" t="str">
        <f>VLOOKUP(I233, 'State-Regions'!A:B, 2, FALSE)</f>
        <v>West</v>
      </c>
      <c r="K233" s="3">
        <f t="shared" si="3"/>
        <v>5053.6677817289865</v>
      </c>
      <c r="L233" t="s">
        <v>105</v>
      </c>
      <c r="M233" s="3">
        <v>459.42434379354421</v>
      </c>
    </row>
    <row r="234" spans="1:13" x14ac:dyDescent="0.25">
      <c r="A234">
        <v>1231</v>
      </c>
      <c r="B234" s="5">
        <v>44494.184374999997</v>
      </c>
      <c r="C234">
        <v>19915</v>
      </c>
      <c r="D234" t="s">
        <v>74</v>
      </c>
      <c r="E234" t="s">
        <v>31</v>
      </c>
      <c r="F234">
        <v>15</v>
      </c>
      <c r="G234" s="3">
        <v>386.20236803685123</v>
      </c>
      <c r="H234">
        <v>181647</v>
      </c>
      <c r="I234" t="s">
        <v>58</v>
      </c>
      <c r="J234" t="str">
        <f>VLOOKUP(I234, 'State-Regions'!A:B, 2, FALSE)</f>
        <v>Midwest</v>
      </c>
      <c r="K234" s="3">
        <f t="shared" si="3"/>
        <v>5793.0355205527685</v>
      </c>
      <c r="L234" t="s">
        <v>105</v>
      </c>
      <c r="M234" s="3">
        <v>386.20236803685123</v>
      </c>
    </row>
    <row r="235" spans="1:13" x14ac:dyDescent="0.25">
      <c r="A235">
        <v>1232</v>
      </c>
      <c r="B235" s="5">
        <v>44462.54109953704</v>
      </c>
      <c r="C235">
        <v>14772</v>
      </c>
      <c r="D235" t="s">
        <v>36</v>
      </c>
      <c r="E235" t="s">
        <v>14</v>
      </c>
      <c r="F235">
        <v>12</v>
      </c>
      <c r="G235" s="3">
        <f>AVERAGE(M:M)</f>
        <v>262.93599539610597</v>
      </c>
      <c r="H235">
        <v>148176</v>
      </c>
      <c r="I235" t="s">
        <v>76</v>
      </c>
      <c r="J235" t="str">
        <f>VLOOKUP(I235, 'State-Regions'!A:B, 2, FALSE)</f>
        <v>West</v>
      </c>
      <c r="K235" s="3">
        <f t="shared" si="3"/>
        <v>3155.2319447532718</v>
      </c>
      <c r="L235" t="s">
        <v>105</v>
      </c>
    </row>
    <row r="236" spans="1:13" x14ac:dyDescent="0.25">
      <c r="A236">
        <v>1233</v>
      </c>
      <c r="B236" s="5">
        <v>44314.461481481478</v>
      </c>
      <c r="C236">
        <v>16966</v>
      </c>
      <c r="D236" t="s">
        <v>30</v>
      </c>
      <c r="E236" t="s">
        <v>31</v>
      </c>
      <c r="F236">
        <v>13</v>
      </c>
      <c r="G236" s="3">
        <v>15.15715818143701</v>
      </c>
      <c r="H236">
        <v>167973</v>
      </c>
      <c r="I236" t="s">
        <v>88</v>
      </c>
      <c r="J236" t="str">
        <f>VLOOKUP(I236, 'State-Regions'!A:B, 2, FALSE)</f>
        <v>Midwest</v>
      </c>
      <c r="K236" s="3">
        <f t="shared" si="3"/>
        <v>197.04305635868113</v>
      </c>
      <c r="L236" t="s">
        <v>105</v>
      </c>
      <c r="M236" s="3">
        <v>15.15715818143701</v>
      </c>
    </row>
    <row r="237" spans="1:13" x14ac:dyDescent="0.25">
      <c r="A237">
        <v>1234</v>
      </c>
      <c r="B237" s="5">
        <v>44394.667384259257</v>
      </c>
      <c r="C237">
        <v>13456</v>
      </c>
      <c r="D237" t="s">
        <v>74</v>
      </c>
      <c r="E237" t="s">
        <v>12</v>
      </c>
      <c r="F237">
        <v>7</v>
      </c>
      <c r="G237" s="3">
        <v>431.72319363853728</v>
      </c>
      <c r="H237">
        <v>123854</v>
      </c>
      <c r="I237" t="s">
        <v>29</v>
      </c>
      <c r="J237" t="str">
        <f>VLOOKUP(I237, 'State-Regions'!A:B, 2, FALSE)</f>
        <v>South</v>
      </c>
      <c r="K237" s="3">
        <f t="shared" si="3"/>
        <v>3022.0623554697609</v>
      </c>
      <c r="L237" t="s">
        <v>105</v>
      </c>
      <c r="M237" s="3">
        <v>431.72319363853728</v>
      </c>
    </row>
    <row r="238" spans="1:13" x14ac:dyDescent="0.25">
      <c r="A238">
        <v>1235</v>
      </c>
      <c r="B238" s="5">
        <v>44517.149363425917</v>
      </c>
      <c r="C238">
        <v>12755</v>
      </c>
      <c r="D238" t="s">
        <v>27</v>
      </c>
      <c r="E238" t="s">
        <v>14</v>
      </c>
      <c r="F238">
        <v>15</v>
      </c>
      <c r="G238" s="3">
        <v>454.87471620902539</v>
      </c>
      <c r="H238">
        <v>150004</v>
      </c>
      <c r="I238" t="s">
        <v>80</v>
      </c>
      <c r="J238" t="str">
        <f>VLOOKUP(I238, 'State-Regions'!A:B, 2, FALSE)</f>
        <v>Northeast</v>
      </c>
      <c r="K238" s="3">
        <f t="shared" si="3"/>
        <v>6823.1207431353805</v>
      </c>
      <c r="L238" t="s">
        <v>105</v>
      </c>
      <c r="M238" s="3">
        <v>454.87471620902539</v>
      </c>
    </row>
    <row r="239" spans="1:13" x14ac:dyDescent="0.25">
      <c r="A239">
        <v>1236</v>
      </c>
      <c r="B239" s="5">
        <v>44242.360775462963</v>
      </c>
      <c r="C239">
        <v>17559</v>
      </c>
      <c r="D239" t="s">
        <v>27</v>
      </c>
      <c r="E239" t="s">
        <v>25</v>
      </c>
      <c r="F239">
        <v>19</v>
      </c>
      <c r="G239" s="3">
        <v>482.6945631565132</v>
      </c>
      <c r="H239">
        <v>136723</v>
      </c>
      <c r="I239" t="s">
        <v>81</v>
      </c>
      <c r="J239" t="str">
        <f>VLOOKUP(I239, 'State-Regions'!A:B, 2, FALSE)</f>
        <v>South</v>
      </c>
      <c r="K239" s="3">
        <f t="shared" si="3"/>
        <v>9171.1966999737506</v>
      </c>
      <c r="L239" t="s">
        <v>105</v>
      </c>
      <c r="M239" s="3">
        <v>482.6945631565132</v>
      </c>
    </row>
    <row r="240" spans="1:13" x14ac:dyDescent="0.25">
      <c r="A240">
        <v>1237</v>
      </c>
      <c r="B240" s="5">
        <v>44348.465011574073</v>
      </c>
      <c r="C240">
        <v>16904</v>
      </c>
      <c r="D240" t="s">
        <v>27</v>
      </c>
      <c r="E240" t="s">
        <v>25</v>
      </c>
      <c r="F240">
        <v>6</v>
      </c>
      <c r="G240" s="3">
        <v>292.41573258742432</v>
      </c>
      <c r="H240">
        <v>135308</v>
      </c>
      <c r="I240" t="s">
        <v>57</v>
      </c>
      <c r="J240" t="str">
        <f>VLOOKUP(I240, 'State-Regions'!A:B, 2, FALSE)</f>
        <v>South</v>
      </c>
      <c r="K240" s="3">
        <f t="shared" si="3"/>
        <v>1754.4943955245458</v>
      </c>
      <c r="L240" t="s">
        <v>105</v>
      </c>
      <c r="M240" s="3">
        <v>292.41573258742432</v>
      </c>
    </row>
    <row r="241" spans="1:13" x14ac:dyDescent="0.25">
      <c r="A241">
        <v>1238</v>
      </c>
      <c r="B241" s="5">
        <v>44252.364872685182</v>
      </c>
      <c r="C241">
        <v>15746</v>
      </c>
      <c r="D241" t="s">
        <v>27</v>
      </c>
      <c r="E241" t="s">
        <v>25</v>
      </c>
      <c r="F241">
        <v>8</v>
      </c>
      <c r="G241" s="3">
        <v>224.7880535246172</v>
      </c>
      <c r="H241">
        <v>156729</v>
      </c>
      <c r="I241" t="s">
        <v>32</v>
      </c>
      <c r="J241" t="str">
        <f>VLOOKUP(I241, 'State-Regions'!A:B, 2, FALSE)</f>
        <v>Midwest</v>
      </c>
      <c r="K241" s="3">
        <f t="shared" si="3"/>
        <v>1798.3044281969376</v>
      </c>
      <c r="L241" t="s">
        <v>105</v>
      </c>
      <c r="M241" s="3">
        <v>224.7880535246172</v>
      </c>
    </row>
    <row r="242" spans="1:13" x14ac:dyDescent="0.25">
      <c r="A242">
        <v>1239</v>
      </c>
      <c r="B242" s="5">
        <v>44293.278483796297</v>
      </c>
      <c r="C242">
        <v>15234</v>
      </c>
      <c r="D242" t="s">
        <v>38</v>
      </c>
      <c r="E242" t="s">
        <v>12</v>
      </c>
      <c r="F242">
        <v>13</v>
      </c>
      <c r="G242" s="3">
        <v>214.4816812296763</v>
      </c>
      <c r="H242">
        <v>115719</v>
      </c>
      <c r="I242" t="s">
        <v>67</v>
      </c>
      <c r="J242" t="str">
        <f>VLOOKUP(I242, 'State-Regions'!A:B, 2, FALSE)</f>
        <v>West</v>
      </c>
      <c r="K242" s="3">
        <f t="shared" si="3"/>
        <v>2788.261855985792</v>
      </c>
      <c r="L242" t="s">
        <v>105</v>
      </c>
      <c r="M242" s="3">
        <v>214.4816812296763</v>
      </c>
    </row>
    <row r="243" spans="1:13" x14ac:dyDescent="0.25">
      <c r="A243">
        <v>1240</v>
      </c>
      <c r="B243" s="5">
        <v>44218.954548611109</v>
      </c>
      <c r="C243">
        <v>17006</v>
      </c>
      <c r="D243" t="s">
        <v>27</v>
      </c>
      <c r="E243" t="s">
        <v>31</v>
      </c>
      <c r="F243">
        <v>18</v>
      </c>
      <c r="G243" s="3">
        <v>242.57741178500081</v>
      </c>
      <c r="H243">
        <v>138248</v>
      </c>
      <c r="I243" t="s">
        <v>75</v>
      </c>
      <c r="J243" t="str">
        <f>VLOOKUP(I243, 'State-Regions'!A:B, 2, FALSE)</f>
        <v>Midwest</v>
      </c>
      <c r="K243" s="3">
        <f t="shared" si="3"/>
        <v>4366.3934121300144</v>
      </c>
      <c r="L243" t="s">
        <v>105</v>
      </c>
      <c r="M243" s="3">
        <v>242.57741178500081</v>
      </c>
    </row>
    <row r="244" spans="1:13" x14ac:dyDescent="0.25">
      <c r="A244">
        <v>1241</v>
      </c>
      <c r="B244" s="5">
        <v>44425.902106481481</v>
      </c>
      <c r="C244">
        <v>17291</v>
      </c>
      <c r="D244" t="s">
        <v>59</v>
      </c>
      <c r="E244" t="s">
        <v>14</v>
      </c>
      <c r="F244">
        <v>1</v>
      </c>
      <c r="G244" s="3">
        <f>AVERAGE(M:M)</f>
        <v>262.93599539610597</v>
      </c>
      <c r="H244">
        <v>168645</v>
      </c>
      <c r="I244" t="s">
        <v>15</v>
      </c>
      <c r="J244" t="str">
        <f>VLOOKUP(I244, 'State-Regions'!A:B, 2, FALSE)</f>
        <v>Midwest</v>
      </c>
      <c r="K244" s="3">
        <f t="shared" si="3"/>
        <v>262.93599539610597</v>
      </c>
      <c r="L244" t="s">
        <v>105</v>
      </c>
    </row>
    <row r="245" spans="1:13" x14ac:dyDescent="0.25">
      <c r="A245">
        <v>1242</v>
      </c>
      <c r="B245" s="5">
        <v>44534.465740740743</v>
      </c>
      <c r="C245">
        <v>19281</v>
      </c>
      <c r="D245" t="s">
        <v>59</v>
      </c>
      <c r="E245" t="s">
        <v>31</v>
      </c>
      <c r="F245">
        <v>18</v>
      </c>
      <c r="G245" s="3">
        <v>400.49515397143853</v>
      </c>
      <c r="H245">
        <v>106941</v>
      </c>
      <c r="I245" t="s">
        <v>53</v>
      </c>
      <c r="J245" t="str">
        <f>VLOOKUP(I245, 'State-Regions'!A:B, 2, FALSE)</f>
        <v>West</v>
      </c>
      <c r="K245" s="3">
        <f t="shared" si="3"/>
        <v>7208.9127714858932</v>
      </c>
      <c r="L245" t="s">
        <v>105</v>
      </c>
      <c r="M245" s="3">
        <v>400.49515397143853</v>
      </c>
    </row>
    <row r="246" spans="1:13" x14ac:dyDescent="0.25">
      <c r="A246">
        <v>1243</v>
      </c>
      <c r="B246" s="5">
        <v>44380.74050925926</v>
      </c>
      <c r="C246">
        <v>16367</v>
      </c>
      <c r="D246" t="s">
        <v>74</v>
      </c>
      <c r="E246" t="s">
        <v>12</v>
      </c>
      <c r="F246">
        <v>1</v>
      </c>
      <c r="G246" s="3">
        <v>48.858779428715543</v>
      </c>
      <c r="H246">
        <v>127049</v>
      </c>
      <c r="I246" t="s">
        <v>71</v>
      </c>
      <c r="J246" t="str">
        <f>VLOOKUP(I246, 'State-Regions'!A:B, 2, FALSE)</f>
        <v>South</v>
      </c>
      <c r="K246" s="3">
        <f t="shared" si="3"/>
        <v>48.858779428715543</v>
      </c>
      <c r="L246" t="s">
        <v>105</v>
      </c>
      <c r="M246" s="3">
        <v>48.858779428715543</v>
      </c>
    </row>
    <row r="247" spans="1:13" x14ac:dyDescent="0.25">
      <c r="A247">
        <v>1244</v>
      </c>
      <c r="B247" s="5">
        <v>44375.006030092591</v>
      </c>
      <c r="C247">
        <v>11862</v>
      </c>
      <c r="D247" t="s">
        <v>40</v>
      </c>
      <c r="E247" t="s">
        <v>12</v>
      </c>
      <c r="F247">
        <v>6</v>
      </c>
      <c r="G247" s="3">
        <v>142.05781686626551</v>
      </c>
      <c r="H247">
        <v>132075</v>
      </c>
      <c r="I247" t="s">
        <v>32</v>
      </c>
      <c r="J247" t="str">
        <f>VLOOKUP(I247, 'State-Regions'!A:B, 2, FALSE)</f>
        <v>Midwest</v>
      </c>
      <c r="K247" s="3">
        <f t="shared" si="3"/>
        <v>852.34690119759307</v>
      </c>
      <c r="L247" t="s">
        <v>105</v>
      </c>
      <c r="M247" s="3">
        <v>142.05781686626551</v>
      </c>
    </row>
    <row r="248" spans="1:13" x14ac:dyDescent="0.25">
      <c r="A248">
        <v>1245</v>
      </c>
      <c r="B248" s="5">
        <v>44214.243668981479</v>
      </c>
      <c r="C248">
        <v>10935</v>
      </c>
      <c r="D248" t="s">
        <v>20</v>
      </c>
      <c r="E248" t="s">
        <v>12</v>
      </c>
      <c r="F248">
        <v>18</v>
      </c>
      <c r="G248" s="3">
        <v>370.1656821981469</v>
      </c>
      <c r="H248">
        <v>104186</v>
      </c>
      <c r="I248" t="s">
        <v>42</v>
      </c>
      <c r="J248" t="str">
        <f>VLOOKUP(I248, 'State-Regions'!A:B, 2, FALSE)</f>
        <v>West</v>
      </c>
      <c r="K248" s="3">
        <f t="shared" si="3"/>
        <v>6662.9822795666441</v>
      </c>
      <c r="L248" t="s">
        <v>105</v>
      </c>
      <c r="M248" s="3">
        <v>370.1656821981469</v>
      </c>
    </row>
    <row r="249" spans="1:13" x14ac:dyDescent="0.25">
      <c r="A249">
        <v>1142</v>
      </c>
      <c r="B249" s="5">
        <v>44370.060636574082</v>
      </c>
      <c r="C249">
        <v>18450</v>
      </c>
      <c r="D249" t="s">
        <v>34</v>
      </c>
      <c r="E249" t="s">
        <v>14</v>
      </c>
      <c r="F249">
        <v>7</v>
      </c>
      <c r="G249" s="3">
        <v>282.88286482889242</v>
      </c>
      <c r="H249">
        <v>125750</v>
      </c>
      <c r="I249" t="s">
        <v>66</v>
      </c>
      <c r="J249" t="str">
        <f>VLOOKUP(I249, 'State-Regions'!A:B, 2, FALSE)</f>
        <v>Northeast</v>
      </c>
      <c r="K249" s="3">
        <f t="shared" si="3"/>
        <v>1980.1800538022469</v>
      </c>
      <c r="L249" t="s">
        <v>105</v>
      </c>
      <c r="M249" s="3">
        <v>282.88286482889242</v>
      </c>
    </row>
    <row r="250" spans="1:13" x14ac:dyDescent="0.25">
      <c r="A250">
        <v>1246</v>
      </c>
      <c r="B250" s="5">
        <v>44262.062210648153</v>
      </c>
      <c r="C250">
        <v>18693</v>
      </c>
      <c r="D250" t="s">
        <v>18</v>
      </c>
      <c r="E250" t="s">
        <v>14</v>
      </c>
      <c r="F250">
        <v>12</v>
      </c>
      <c r="G250" s="3">
        <v>236.83490007610541</v>
      </c>
      <c r="H250">
        <v>125222</v>
      </c>
      <c r="I250" t="s">
        <v>23</v>
      </c>
      <c r="J250" t="str">
        <f>VLOOKUP(I250, 'State-Regions'!A:B, 2, FALSE)</f>
        <v>South</v>
      </c>
      <c r="K250" s="3">
        <f t="shared" si="3"/>
        <v>2842.0188009132648</v>
      </c>
      <c r="L250" t="s">
        <v>105</v>
      </c>
      <c r="M250" s="3">
        <v>236.83490007610541</v>
      </c>
    </row>
    <row r="251" spans="1:13" x14ac:dyDescent="0.25">
      <c r="A251">
        <v>1247</v>
      </c>
      <c r="B251" s="5">
        <v>44554.950243055559</v>
      </c>
      <c r="C251">
        <v>10052</v>
      </c>
      <c r="D251" t="s">
        <v>18</v>
      </c>
      <c r="E251" t="s">
        <v>25</v>
      </c>
      <c r="F251">
        <v>5</v>
      </c>
      <c r="G251" s="3">
        <v>121.3226923751828</v>
      </c>
      <c r="H251">
        <v>111990</v>
      </c>
      <c r="I251" t="s">
        <v>32</v>
      </c>
      <c r="J251" t="str">
        <f>VLOOKUP(I251, 'State-Regions'!A:B, 2, FALSE)</f>
        <v>Midwest</v>
      </c>
      <c r="K251" s="3">
        <f t="shared" si="3"/>
        <v>606.61346187591403</v>
      </c>
      <c r="L251" t="s">
        <v>105</v>
      </c>
      <c r="M251" s="3">
        <v>121.3226923751828</v>
      </c>
    </row>
    <row r="252" spans="1:13" x14ac:dyDescent="0.25">
      <c r="A252">
        <v>1248</v>
      </c>
      <c r="B252" s="5">
        <v>44526.503194444442</v>
      </c>
      <c r="C252">
        <v>13656</v>
      </c>
      <c r="D252" t="s">
        <v>52</v>
      </c>
      <c r="E252" t="s">
        <v>12</v>
      </c>
      <c r="F252">
        <v>10</v>
      </c>
      <c r="G252" s="3">
        <v>234.76241539954259</v>
      </c>
      <c r="H252">
        <v>100364</v>
      </c>
      <c r="I252" t="s">
        <v>66</v>
      </c>
      <c r="J252" t="str">
        <f>VLOOKUP(I252, 'State-Regions'!A:B, 2, FALSE)</f>
        <v>Northeast</v>
      </c>
      <c r="K252" s="3">
        <f t="shared" si="3"/>
        <v>2347.6241539954258</v>
      </c>
      <c r="L252" t="s">
        <v>105</v>
      </c>
      <c r="M252" s="3">
        <v>234.76241539954259</v>
      </c>
    </row>
    <row r="253" spans="1:13" x14ac:dyDescent="0.25">
      <c r="A253">
        <v>1249</v>
      </c>
      <c r="B253" s="5">
        <v>44348.344224537039</v>
      </c>
      <c r="C253">
        <v>10870</v>
      </c>
      <c r="D253" t="s">
        <v>51</v>
      </c>
      <c r="E253" t="s">
        <v>31</v>
      </c>
      <c r="F253">
        <v>1</v>
      </c>
      <c r="G253" s="3">
        <v>412.55575788571372</v>
      </c>
      <c r="H253">
        <v>139197</v>
      </c>
      <c r="I253" t="s">
        <v>87</v>
      </c>
      <c r="J253" t="str">
        <f>VLOOKUP(I253, 'State-Regions'!A:B, 2, FALSE)</f>
        <v>South</v>
      </c>
      <c r="K253" s="3">
        <f t="shared" si="3"/>
        <v>412.55575788571372</v>
      </c>
      <c r="L253" t="s">
        <v>105</v>
      </c>
      <c r="M253" s="3">
        <v>412.55575788571372</v>
      </c>
    </row>
    <row r="254" spans="1:13" x14ac:dyDescent="0.25">
      <c r="A254">
        <v>1250</v>
      </c>
      <c r="B254" s="5">
        <v>44382.087685185194</v>
      </c>
      <c r="C254">
        <v>14185</v>
      </c>
      <c r="D254" t="s">
        <v>51</v>
      </c>
      <c r="E254" t="s">
        <v>12</v>
      </c>
      <c r="F254">
        <v>16</v>
      </c>
      <c r="G254" s="3">
        <v>107.66662366922461</v>
      </c>
      <c r="H254">
        <v>183794</v>
      </c>
      <c r="I254" t="s">
        <v>81</v>
      </c>
      <c r="J254" t="str">
        <f>VLOOKUP(I254, 'State-Regions'!A:B, 2, FALSE)</f>
        <v>South</v>
      </c>
      <c r="K254" s="3">
        <f t="shared" si="3"/>
        <v>1722.6659787075937</v>
      </c>
      <c r="L254" t="s">
        <v>105</v>
      </c>
      <c r="M254" s="3">
        <v>107.66662366922461</v>
      </c>
    </row>
    <row r="255" spans="1:13" x14ac:dyDescent="0.25">
      <c r="A255">
        <v>1251</v>
      </c>
      <c r="B255" s="5">
        <v>44461.619699074072</v>
      </c>
      <c r="C255">
        <v>17266</v>
      </c>
      <c r="D255" t="s">
        <v>34</v>
      </c>
      <c r="E255" t="s">
        <v>25</v>
      </c>
      <c r="F255">
        <v>5</v>
      </c>
      <c r="G255" s="3">
        <v>459.35644978264708</v>
      </c>
      <c r="H255">
        <v>152186</v>
      </c>
      <c r="I255" t="s">
        <v>84</v>
      </c>
      <c r="J255" t="str">
        <f>VLOOKUP(I255, 'State-Regions'!A:B, 2, FALSE)</f>
        <v>Northeast</v>
      </c>
      <c r="K255" s="3">
        <f t="shared" si="3"/>
        <v>2296.7822489132354</v>
      </c>
      <c r="L255" t="s">
        <v>105</v>
      </c>
      <c r="M255" s="3">
        <v>459.35644978264708</v>
      </c>
    </row>
    <row r="256" spans="1:13" x14ac:dyDescent="0.25">
      <c r="A256">
        <v>1252</v>
      </c>
      <c r="B256" s="5">
        <v>44261.47693287037</v>
      </c>
      <c r="C256">
        <v>17567</v>
      </c>
      <c r="D256" t="s">
        <v>91</v>
      </c>
      <c r="E256" t="s">
        <v>12</v>
      </c>
      <c r="F256">
        <v>10</v>
      </c>
      <c r="G256" s="3">
        <v>275.17875012768383</v>
      </c>
      <c r="H256">
        <v>102635</v>
      </c>
      <c r="I256" t="s">
        <v>79</v>
      </c>
      <c r="J256" t="str">
        <f>VLOOKUP(I256, 'State-Regions'!A:B, 2, FALSE)</f>
        <v>Midwest</v>
      </c>
      <c r="K256" s="3">
        <f t="shared" si="3"/>
        <v>2751.7875012768382</v>
      </c>
      <c r="L256" t="s">
        <v>105</v>
      </c>
      <c r="M256" s="3">
        <v>275.17875012768383</v>
      </c>
    </row>
    <row r="257" spans="1:13" x14ac:dyDescent="0.25">
      <c r="A257">
        <v>1253</v>
      </c>
      <c r="B257" s="5">
        <v>44496.075960648152</v>
      </c>
      <c r="C257">
        <v>12560</v>
      </c>
      <c r="D257" t="s">
        <v>52</v>
      </c>
      <c r="E257" t="s">
        <v>14</v>
      </c>
      <c r="F257">
        <v>4</v>
      </c>
      <c r="G257" s="3">
        <v>222.19700811155209</v>
      </c>
      <c r="H257">
        <v>124565</v>
      </c>
      <c r="I257" t="s">
        <v>88</v>
      </c>
      <c r="J257" t="str">
        <f>VLOOKUP(I257, 'State-Regions'!A:B, 2, FALSE)</f>
        <v>Midwest</v>
      </c>
      <c r="K257" s="3">
        <f t="shared" si="3"/>
        <v>888.78803244620838</v>
      </c>
      <c r="L257" t="s">
        <v>105</v>
      </c>
      <c r="M257" s="3">
        <v>222.19700811155209</v>
      </c>
    </row>
    <row r="258" spans="1:13" x14ac:dyDescent="0.25">
      <c r="A258">
        <v>1254</v>
      </c>
      <c r="B258" s="5">
        <v>44206.023657407408</v>
      </c>
      <c r="C258">
        <v>13538</v>
      </c>
      <c r="D258" t="s">
        <v>24</v>
      </c>
      <c r="E258" t="s">
        <v>31</v>
      </c>
      <c r="F258">
        <v>19</v>
      </c>
      <c r="G258" s="3">
        <v>101.974195683796</v>
      </c>
      <c r="H258">
        <v>108149</v>
      </c>
      <c r="I258" t="s">
        <v>41</v>
      </c>
      <c r="J258" t="str">
        <f>VLOOKUP(I258, 'State-Regions'!A:B, 2, FALSE)</f>
        <v>Midwest</v>
      </c>
      <c r="K258" s="3">
        <f t="shared" si="3"/>
        <v>1937.509717992124</v>
      </c>
      <c r="L258" t="s">
        <v>105</v>
      </c>
      <c r="M258" s="3">
        <v>101.974195683796</v>
      </c>
    </row>
    <row r="259" spans="1:13" x14ac:dyDescent="0.25">
      <c r="A259">
        <v>1255</v>
      </c>
      <c r="B259" s="5">
        <v>44273.154872685183</v>
      </c>
      <c r="C259">
        <v>18224</v>
      </c>
      <c r="D259" t="s">
        <v>52</v>
      </c>
      <c r="E259" t="s">
        <v>14</v>
      </c>
      <c r="F259">
        <v>15</v>
      </c>
      <c r="G259" s="3">
        <v>142.7309556293304</v>
      </c>
      <c r="H259">
        <v>101160</v>
      </c>
      <c r="I259" t="s">
        <v>71</v>
      </c>
      <c r="J259" t="str">
        <f>VLOOKUP(I259, 'State-Regions'!A:B, 2, FALSE)</f>
        <v>South</v>
      </c>
      <c r="K259" s="3">
        <f t="shared" si="3"/>
        <v>2140.964334439956</v>
      </c>
      <c r="L259" t="s">
        <v>105</v>
      </c>
      <c r="M259" s="3">
        <v>142.7309556293304</v>
      </c>
    </row>
    <row r="260" spans="1:13" x14ac:dyDescent="0.25">
      <c r="A260">
        <v>1256</v>
      </c>
      <c r="B260" s="5">
        <v>44386.024143518523</v>
      </c>
      <c r="C260">
        <v>17348</v>
      </c>
      <c r="D260" t="s">
        <v>24</v>
      </c>
      <c r="E260" t="s">
        <v>14</v>
      </c>
      <c r="F260">
        <v>6</v>
      </c>
      <c r="G260" s="3">
        <v>181.74381990306961</v>
      </c>
      <c r="H260">
        <v>156682</v>
      </c>
      <c r="I260" t="s">
        <v>48</v>
      </c>
      <c r="J260" t="str">
        <f>VLOOKUP(I260, 'State-Regions'!A:B, 2, FALSE)</f>
        <v>West</v>
      </c>
      <c r="K260" s="3">
        <f t="shared" si="3"/>
        <v>1090.4629194184176</v>
      </c>
      <c r="L260" t="s">
        <v>105</v>
      </c>
      <c r="M260" s="3">
        <v>181.74381990306961</v>
      </c>
    </row>
    <row r="261" spans="1:13" x14ac:dyDescent="0.25">
      <c r="A261">
        <v>1257</v>
      </c>
      <c r="B261" s="5">
        <v>44480.261886574073</v>
      </c>
      <c r="C261">
        <v>16851</v>
      </c>
      <c r="D261" t="s">
        <v>18</v>
      </c>
      <c r="E261" t="s">
        <v>14</v>
      </c>
      <c r="F261">
        <v>4</v>
      </c>
      <c r="G261" s="3">
        <v>395.50636520173748</v>
      </c>
      <c r="H261">
        <v>118861</v>
      </c>
      <c r="I261" t="s">
        <v>82</v>
      </c>
      <c r="J261" t="str">
        <f>VLOOKUP(I261, 'State-Regions'!A:B, 2, FALSE)</f>
        <v>West</v>
      </c>
      <c r="K261" s="3">
        <f t="shared" si="3"/>
        <v>1582.0254608069499</v>
      </c>
      <c r="L261" t="s">
        <v>105</v>
      </c>
      <c r="M261" s="3">
        <v>395.50636520173748</v>
      </c>
    </row>
    <row r="262" spans="1:13" x14ac:dyDescent="0.25">
      <c r="A262">
        <v>1258</v>
      </c>
      <c r="B262" s="5">
        <v>44452.654490740737</v>
      </c>
      <c r="C262">
        <v>19981</v>
      </c>
      <c r="D262" t="s">
        <v>44</v>
      </c>
      <c r="E262" t="s">
        <v>12</v>
      </c>
      <c r="F262">
        <v>13</v>
      </c>
      <c r="G262" s="3">
        <v>246.81730690956391</v>
      </c>
      <c r="H262">
        <v>106121</v>
      </c>
      <c r="I262" t="s">
        <v>62</v>
      </c>
      <c r="J262" t="str">
        <f>VLOOKUP(I262, 'State-Regions'!A:B, 2, FALSE)</f>
        <v>South</v>
      </c>
      <c r="K262" s="3">
        <f t="shared" si="3"/>
        <v>3208.6249898243309</v>
      </c>
      <c r="L262" t="s">
        <v>105</v>
      </c>
      <c r="M262" s="3">
        <v>246.81730690956391</v>
      </c>
    </row>
    <row r="263" spans="1:13" x14ac:dyDescent="0.25">
      <c r="A263">
        <v>1259</v>
      </c>
      <c r="B263" s="5">
        <v>44450.351909722223</v>
      </c>
      <c r="C263">
        <v>17471</v>
      </c>
      <c r="D263" t="s">
        <v>44</v>
      </c>
      <c r="E263" t="s">
        <v>12</v>
      </c>
      <c r="F263">
        <v>9</v>
      </c>
      <c r="G263" s="3">
        <v>424.65957651952328</v>
      </c>
      <c r="H263">
        <v>117568</v>
      </c>
      <c r="I263" t="s">
        <v>80</v>
      </c>
      <c r="J263" t="str">
        <f>VLOOKUP(I263, 'State-Regions'!A:B, 2, FALSE)</f>
        <v>Northeast</v>
      </c>
      <c r="K263" s="3">
        <f t="shared" ref="K263:K310" si="4">G263*F263</f>
        <v>3821.9361886757097</v>
      </c>
      <c r="L263" t="s">
        <v>105</v>
      </c>
      <c r="M263" s="3">
        <v>424.65957651952328</v>
      </c>
    </row>
    <row r="264" spans="1:13" x14ac:dyDescent="0.25">
      <c r="A264">
        <v>1260</v>
      </c>
      <c r="B264" s="5">
        <v>44468.896585648137</v>
      </c>
      <c r="C264">
        <v>11661</v>
      </c>
      <c r="D264" t="s">
        <v>36</v>
      </c>
      <c r="E264" t="s">
        <v>25</v>
      </c>
      <c r="F264">
        <v>15</v>
      </c>
      <c r="G264" s="3">
        <v>420.20311774707272</v>
      </c>
      <c r="H264">
        <v>190522</v>
      </c>
      <c r="I264" t="s">
        <v>71</v>
      </c>
      <c r="J264" t="str">
        <f>VLOOKUP(I264, 'State-Regions'!A:B, 2, FALSE)</f>
        <v>South</v>
      </c>
      <c r="K264" s="3">
        <f t="shared" si="4"/>
        <v>6303.046766206091</v>
      </c>
      <c r="L264" t="s">
        <v>105</v>
      </c>
      <c r="M264" s="3">
        <v>420.20311774707272</v>
      </c>
    </row>
    <row r="265" spans="1:13" x14ac:dyDescent="0.25">
      <c r="A265">
        <v>1261</v>
      </c>
      <c r="B265" s="5">
        <v>44293.691527777781</v>
      </c>
      <c r="C265">
        <v>10987</v>
      </c>
      <c r="D265" t="s">
        <v>18</v>
      </c>
      <c r="E265" t="s">
        <v>12</v>
      </c>
      <c r="F265">
        <v>6</v>
      </c>
      <c r="G265" s="3">
        <v>492.35345500825042</v>
      </c>
      <c r="H265">
        <v>159663</v>
      </c>
      <c r="I265" t="s">
        <v>42</v>
      </c>
      <c r="J265" t="str">
        <f>VLOOKUP(I265, 'State-Regions'!A:B, 2, FALSE)</f>
        <v>West</v>
      </c>
      <c r="K265" s="3">
        <f t="shared" si="4"/>
        <v>2954.1207300495025</v>
      </c>
      <c r="L265" t="s">
        <v>105</v>
      </c>
      <c r="M265" s="3">
        <v>492.35345500825042</v>
      </c>
    </row>
    <row r="266" spans="1:13" x14ac:dyDescent="0.25">
      <c r="A266">
        <v>1262</v>
      </c>
      <c r="B266" s="5">
        <v>44402.811759259261</v>
      </c>
      <c r="C266">
        <v>11708</v>
      </c>
      <c r="D266" t="s">
        <v>43</v>
      </c>
      <c r="E266" t="s">
        <v>25</v>
      </c>
      <c r="F266">
        <v>9</v>
      </c>
      <c r="G266" s="3">
        <v>409.53793549748258</v>
      </c>
      <c r="H266">
        <v>194898</v>
      </c>
      <c r="I266" t="s">
        <v>78</v>
      </c>
      <c r="J266" t="str">
        <f>VLOOKUP(I266, 'State-Regions'!A:B, 2, FALSE)</f>
        <v>South</v>
      </c>
      <c r="K266" s="3">
        <f t="shared" si="4"/>
        <v>3685.8414194773432</v>
      </c>
      <c r="L266" t="s">
        <v>105</v>
      </c>
      <c r="M266" s="3">
        <v>409.53793549748258</v>
      </c>
    </row>
    <row r="267" spans="1:13" x14ac:dyDescent="0.25">
      <c r="A267">
        <v>1263</v>
      </c>
      <c r="B267" s="5">
        <v>44200.392604166656</v>
      </c>
      <c r="C267">
        <v>14839</v>
      </c>
      <c r="D267" t="s">
        <v>59</v>
      </c>
      <c r="E267" t="s">
        <v>14</v>
      </c>
      <c r="F267">
        <v>19</v>
      </c>
      <c r="G267" s="3">
        <v>27.178001444132232</v>
      </c>
      <c r="H267">
        <v>131305</v>
      </c>
      <c r="I267" t="s">
        <v>75</v>
      </c>
      <c r="J267" t="str">
        <f>VLOOKUP(I267, 'State-Regions'!A:B, 2, FALSE)</f>
        <v>Midwest</v>
      </c>
      <c r="K267" s="3">
        <f t="shared" si="4"/>
        <v>516.38202743851241</v>
      </c>
      <c r="L267" t="s">
        <v>105</v>
      </c>
      <c r="M267" s="3">
        <v>27.178001444132232</v>
      </c>
    </row>
    <row r="268" spans="1:13" x14ac:dyDescent="0.25">
      <c r="A268">
        <v>1264</v>
      </c>
      <c r="B268" s="5">
        <v>44440.617754629631</v>
      </c>
      <c r="C268">
        <v>15732</v>
      </c>
      <c r="D268" t="s">
        <v>52</v>
      </c>
      <c r="E268" t="s">
        <v>31</v>
      </c>
      <c r="F268">
        <v>3</v>
      </c>
      <c r="G268" s="3">
        <v>136.3128114258682</v>
      </c>
      <c r="H268">
        <v>171559</v>
      </c>
      <c r="I268" t="s">
        <v>17</v>
      </c>
      <c r="J268" t="str">
        <f>VLOOKUP(I268, 'State-Regions'!A:B, 2, FALSE)</f>
        <v>South</v>
      </c>
      <c r="K268" s="3">
        <f t="shared" si="4"/>
        <v>408.93843427760464</v>
      </c>
      <c r="L268" t="s">
        <v>105</v>
      </c>
      <c r="M268" s="3">
        <v>136.3128114258682</v>
      </c>
    </row>
    <row r="269" spans="1:13" x14ac:dyDescent="0.25">
      <c r="A269">
        <v>1265</v>
      </c>
      <c r="B269" s="5">
        <v>44214.45988425926</v>
      </c>
      <c r="C269">
        <v>10421</v>
      </c>
      <c r="D269" t="s">
        <v>43</v>
      </c>
      <c r="E269" t="s">
        <v>12</v>
      </c>
      <c r="F269">
        <v>11</v>
      </c>
      <c r="G269" s="3">
        <v>132.7204018296496</v>
      </c>
      <c r="H269">
        <v>101507</v>
      </c>
      <c r="I269" t="s">
        <v>71</v>
      </c>
      <c r="J269" t="str">
        <f>VLOOKUP(I269, 'State-Regions'!A:B, 2, FALSE)</f>
        <v>South</v>
      </c>
      <c r="K269" s="3">
        <f t="shared" si="4"/>
        <v>1459.9244201261456</v>
      </c>
      <c r="L269" t="s">
        <v>105</v>
      </c>
      <c r="M269" s="3">
        <v>132.7204018296496</v>
      </c>
    </row>
    <row r="270" spans="1:13" x14ac:dyDescent="0.25">
      <c r="A270">
        <v>1266</v>
      </c>
      <c r="B270" s="5">
        <v>44431.794456018521</v>
      </c>
      <c r="C270">
        <v>18095</v>
      </c>
      <c r="D270" t="s">
        <v>34</v>
      </c>
      <c r="E270" t="s">
        <v>25</v>
      </c>
      <c r="F270">
        <v>15</v>
      </c>
      <c r="G270" s="3">
        <v>54.104375973197918</v>
      </c>
      <c r="H270">
        <v>111648</v>
      </c>
      <c r="I270" t="s">
        <v>56</v>
      </c>
      <c r="J270" t="str">
        <f>VLOOKUP(I270, 'State-Regions'!A:B, 2, FALSE)</f>
        <v>West</v>
      </c>
      <c r="K270" s="3">
        <f t="shared" si="4"/>
        <v>811.56563959796881</v>
      </c>
      <c r="L270" t="s">
        <v>105</v>
      </c>
      <c r="M270" s="3">
        <v>54.104375973197918</v>
      </c>
    </row>
    <row r="271" spans="1:13" x14ac:dyDescent="0.25">
      <c r="A271">
        <v>1267</v>
      </c>
      <c r="B271" s="5">
        <v>44323.076377314806</v>
      </c>
      <c r="C271">
        <v>15767</v>
      </c>
      <c r="D271" t="s">
        <v>18</v>
      </c>
      <c r="E271" t="s">
        <v>31</v>
      </c>
      <c r="F271">
        <v>11</v>
      </c>
      <c r="G271" s="3">
        <v>105.2959840129769</v>
      </c>
      <c r="H271">
        <v>162448</v>
      </c>
      <c r="I271" t="s">
        <v>82</v>
      </c>
      <c r="J271" t="str">
        <f>VLOOKUP(I271, 'State-Regions'!A:B, 2, FALSE)</f>
        <v>West</v>
      </c>
      <c r="K271" s="3">
        <f t="shared" si="4"/>
        <v>1158.255824142746</v>
      </c>
      <c r="L271" t="s">
        <v>105</v>
      </c>
      <c r="M271" s="3">
        <v>105.2959840129769</v>
      </c>
    </row>
    <row r="272" spans="1:13" x14ac:dyDescent="0.25">
      <c r="A272">
        <v>1268</v>
      </c>
      <c r="B272" s="5">
        <v>44428.02275462963</v>
      </c>
      <c r="C272">
        <v>16850</v>
      </c>
      <c r="D272" t="s">
        <v>30</v>
      </c>
      <c r="E272" t="s">
        <v>14</v>
      </c>
      <c r="F272">
        <v>16</v>
      </c>
      <c r="G272" s="3">
        <v>347.35774099389329</v>
      </c>
      <c r="H272">
        <v>144960</v>
      </c>
      <c r="I272" t="s">
        <v>49</v>
      </c>
      <c r="J272" t="str">
        <f>VLOOKUP(I272, 'State-Regions'!A:B, 2, FALSE)</f>
        <v>South</v>
      </c>
      <c r="K272" s="3">
        <f t="shared" si="4"/>
        <v>5557.7238559022926</v>
      </c>
      <c r="L272" t="s">
        <v>105</v>
      </c>
      <c r="M272" s="3">
        <v>347.35774099389329</v>
      </c>
    </row>
    <row r="273" spans="1:13" x14ac:dyDescent="0.25">
      <c r="A273">
        <v>1269</v>
      </c>
      <c r="B273" s="5">
        <v>44450.113668981481</v>
      </c>
      <c r="C273">
        <v>14344</v>
      </c>
      <c r="D273" t="s">
        <v>27</v>
      </c>
      <c r="E273" t="s">
        <v>12</v>
      </c>
      <c r="F273">
        <v>10</v>
      </c>
      <c r="G273" s="3">
        <v>77.981637704251852</v>
      </c>
      <c r="H273">
        <v>131712</v>
      </c>
      <c r="I273" t="s">
        <v>66</v>
      </c>
      <c r="J273" t="str">
        <f>VLOOKUP(I273, 'State-Regions'!A:B, 2, FALSE)</f>
        <v>Northeast</v>
      </c>
      <c r="K273" s="3">
        <f t="shared" si="4"/>
        <v>779.81637704251852</v>
      </c>
      <c r="L273" t="s">
        <v>105</v>
      </c>
      <c r="M273" s="3">
        <v>77.981637704251852</v>
      </c>
    </row>
    <row r="274" spans="1:13" x14ac:dyDescent="0.25">
      <c r="A274">
        <v>1270</v>
      </c>
      <c r="B274" s="5">
        <v>44225.93141203704</v>
      </c>
      <c r="C274">
        <v>17579</v>
      </c>
      <c r="D274" t="s">
        <v>59</v>
      </c>
      <c r="E274" t="s">
        <v>14</v>
      </c>
      <c r="F274">
        <v>2</v>
      </c>
      <c r="G274" s="3">
        <f>AVERAGE(M:M)</f>
        <v>262.93599539610597</v>
      </c>
      <c r="H274">
        <v>153646</v>
      </c>
      <c r="I274" t="s">
        <v>76</v>
      </c>
      <c r="J274" t="str">
        <f>VLOOKUP(I274, 'State-Regions'!A:B, 2, FALSE)</f>
        <v>West</v>
      </c>
      <c r="K274" s="3">
        <f t="shared" si="4"/>
        <v>525.87199079221193</v>
      </c>
      <c r="L274" t="s">
        <v>105</v>
      </c>
    </row>
    <row r="275" spans="1:13" x14ac:dyDescent="0.25">
      <c r="A275">
        <v>1271</v>
      </c>
      <c r="B275" s="5">
        <v>44289.707314814812</v>
      </c>
      <c r="C275">
        <v>18436</v>
      </c>
      <c r="D275" t="s">
        <v>61</v>
      </c>
      <c r="E275" t="s">
        <v>12</v>
      </c>
      <c r="F275">
        <v>1</v>
      </c>
      <c r="G275" s="3">
        <v>119.1552676677489</v>
      </c>
      <c r="H275">
        <v>135911</v>
      </c>
      <c r="I275" t="s">
        <v>45</v>
      </c>
      <c r="J275" t="str">
        <f>VLOOKUP(I275, 'State-Regions'!A:B, 2, FALSE)</f>
        <v>South</v>
      </c>
      <c r="K275" s="3">
        <f t="shared" si="4"/>
        <v>119.1552676677489</v>
      </c>
      <c r="L275" t="s">
        <v>105</v>
      </c>
      <c r="M275" s="3">
        <v>119.1552676677489</v>
      </c>
    </row>
    <row r="276" spans="1:13" x14ac:dyDescent="0.25">
      <c r="A276">
        <v>1272</v>
      </c>
      <c r="B276" s="5">
        <v>44380.918078703697</v>
      </c>
      <c r="C276">
        <v>13912</v>
      </c>
      <c r="D276" t="s">
        <v>16</v>
      </c>
      <c r="E276" t="s">
        <v>14</v>
      </c>
      <c r="F276">
        <v>13</v>
      </c>
      <c r="G276" s="3">
        <v>482.90823011427511</v>
      </c>
      <c r="H276">
        <v>192770</v>
      </c>
      <c r="I276" t="s">
        <v>15</v>
      </c>
      <c r="J276" t="str">
        <f>VLOOKUP(I276, 'State-Regions'!A:B, 2, FALSE)</f>
        <v>Midwest</v>
      </c>
      <c r="K276" s="3">
        <f t="shared" si="4"/>
        <v>6277.8069914855769</v>
      </c>
      <c r="L276" t="s">
        <v>105</v>
      </c>
      <c r="M276" s="3">
        <v>482.90823011427511</v>
      </c>
    </row>
    <row r="277" spans="1:13" x14ac:dyDescent="0.25">
      <c r="A277">
        <v>1240</v>
      </c>
      <c r="B277" s="5">
        <v>44218.954548611109</v>
      </c>
      <c r="C277">
        <v>17006</v>
      </c>
      <c r="D277" t="s">
        <v>27</v>
      </c>
      <c r="E277" t="s">
        <v>31</v>
      </c>
      <c r="F277">
        <v>18</v>
      </c>
      <c r="G277" s="3">
        <v>242.57741178500081</v>
      </c>
      <c r="H277">
        <v>138248</v>
      </c>
      <c r="I277" t="s">
        <v>75</v>
      </c>
      <c r="J277" t="str">
        <f>VLOOKUP(I277, 'State-Regions'!A:B, 2, FALSE)</f>
        <v>Midwest</v>
      </c>
      <c r="K277" s="3">
        <f t="shared" si="4"/>
        <v>4366.3934121300144</v>
      </c>
      <c r="L277" t="s">
        <v>105</v>
      </c>
      <c r="M277" s="3">
        <v>242.57741178500081</v>
      </c>
    </row>
    <row r="278" spans="1:13" x14ac:dyDescent="0.25">
      <c r="A278">
        <v>1273</v>
      </c>
      <c r="B278" s="5">
        <v>44335.13790509259</v>
      </c>
      <c r="C278">
        <v>11309</v>
      </c>
      <c r="D278" t="s">
        <v>16</v>
      </c>
      <c r="E278" t="s">
        <v>25</v>
      </c>
      <c r="F278">
        <v>4</v>
      </c>
      <c r="G278" s="3">
        <v>413.38184143973911</v>
      </c>
      <c r="H278">
        <v>162744</v>
      </c>
      <c r="I278" t="s">
        <v>13</v>
      </c>
      <c r="J278" t="str">
        <f>VLOOKUP(I278, 'State-Regions'!A:B, 2, FALSE)</f>
        <v>Midwest</v>
      </c>
      <c r="K278" s="3">
        <f t="shared" si="4"/>
        <v>1653.5273657589564</v>
      </c>
      <c r="L278" t="s">
        <v>105</v>
      </c>
      <c r="M278" s="3">
        <v>413.38184143973911</v>
      </c>
    </row>
    <row r="279" spans="1:13" x14ac:dyDescent="0.25">
      <c r="A279">
        <v>1274</v>
      </c>
      <c r="B279" s="5">
        <v>44547.455243055563</v>
      </c>
      <c r="C279">
        <v>15696</v>
      </c>
      <c r="D279" t="s">
        <v>36</v>
      </c>
      <c r="E279" t="s">
        <v>31</v>
      </c>
      <c r="F279">
        <v>2</v>
      </c>
      <c r="G279" s="3">
        <v>194.37121630905901</v>
      </c>
      <c r="H279">
        <v>132400</v>
      </c>
      <c r="I279" t="s">
        <v>78</v>
      </c>
      <c r="J279" t="str">
        <f>VLOOKUP(I279, 'State-Regions'!A:B, 2, FALSE)</f>
        <v>South</v>
      </c>
      <c r="K279" s="3">
        <f t="shared" si="4"/>
        <v>388.74243261811802</v>
      </c>
      <c r="L279" t="s">
        <v>105</v>
      </c>
      <c r="M279" s="3">
        <v>194.37121630905901</v>
      </c>
    </row>
    <row r="280" spans="1:13" x14ac:dyDescent="0.25">
      <c r="A280">
        <v>1275</v>
      </c>
      <c r="B280" s="5">
        <v>44217.070405092592</v>
      </c>
      <c r="C280">
        <v>18015</v>
      </c>
      <c r="D280" t="s">
        <v>30</v>
      </c>
      <c r="E280" t="s">
        <v>25</v>
      </c>
      <c r="F280">
        <v>9</v>
      </c>
      <c r="G280" s="3">
        <v>411.31817167297589</v>
      </c>
      <c r="H280">
        <v>129450</v>
      </c>
      <c r="I280" t="s">
        <v>32</v>
      </c>
      <c r="J280" t="str">
        <f>VLOOKUP(I280, 'State-Regions'!A:B, 2, FALSE)</f>
        <v>Midwest</v>
      </c>
      <c r="K280" s="3">
        <f t="shared" si="4"/>
        <v>3701.8635450567831</v>
      </c>
      <c r="L280" t="s">
        <v>105</v>
      </c>
      <c r="M280" s="3">
        <v>411.31817167297589</v>
      </c>
    </row>
    <row r="281" spans="1:13" x14ac:dyDescent="0.25">
      <c r="A281">
        <v>1276</v>
      </c>
      <c r="B281" s="5">
        <v>44455.135104166657</v>
      </c>
      <c r="C281">
        <v>14622</v>
      </c>
      <c r="D281" t="s">
        <v>38</v>
      </c>
      <c r="E281" t="s">
        <v>31</v>
      </c>
      <c r="F281">
        <v>9</v>
      </c>
      <c r="G281" s="3">
        <v>223.9348377495339</v>
      </c>
      <c r="H281">
        <v>193750</v>
      </c>
      <c r="I281" t="s">
        <v>42</v>
      </c>
      <c r="J281" t="str">
        <f>VLOOKUP(I281, 'State-Regions'!A:B, 2, FALSE)</f>
        <v>West</v>
      </c>
      <c r="K281" s="3">
        <f t="shared" si="4"/>
        <v>2015.4135397458051</v>
      </c>
      <c r="L281" t="s">
        <v>105</v>
      </c>
      <c r="M281" s="3">
        <v>223.9348377495339</v>
      </c>
    </row>
    <row r="282" spans="1:13" x14ac:dyDescent="0.25">
      <c r="A282">
        <v>1277</v>
      </c>
      <c r="B282" s="5">
        <v>44338.217407407406</v>
      </c>
      <c r="C282">
        <v>10245</v>
      </c>
      <c r="D282" t="s">
        <v>47</v>
      </c>
      <c r="E282" t="s">
        <v>25</v>
      </c>
      <c r="F282">
        <v>7</v>
      </c>
      <c r="G282" s="3">
        <v>457.45970745055291</v>
      </c>
      <c r="H282">
        <v>187435</v>
      </c>
      <c r="I282" t="s">
        <v>54</v>
      </c>
      <c r="J282" t="str">
        <f>VLOOKUP(I282, 'State-Regions'!A:B, 2, FALSE)</f>
        <v>Midwest</v>
      </c>
      <c r="K282" s="3">
        <f t="shared" si="4"/>
        <v>3202.2179521538706</v>
      </c>
      <c r="L282" t="s">
        <v>105</v>
      </c>
      <c r="M282" s="3">
        <v>457.45970745055291</v>
      </c>
    </row>
    <row r="283" spans="1:13" x14ac:dyDescent="0.25">
      <c r="A283">
        <v>1278</v>
      </c>
      <c r="B283" s="5">
        <v>44284.841527777768</v>
      </c>
      <c r="C283">
        <v>14352</v>
      </c>
      <c r="D283" t="s">
        <v>38</v>
      </c>
      <c r="E283" t="s">
        <v>12</v>
      </c>
      <c r="F283">
        <v>18</v>
      </c>
      <c r="G283" s="3">
        <v>317.99055817473902</v>
      </c>
      <c r="H283">
        <v>133772</v>
      </c>
      <c r="I283" t="s">
        <v>86</v>
      </c>
      <c r="J283" t="str">
        <f>VLOOKUP(I283, 'State-Regions'!A:B, 2, FALSE)</f>
        <v>West</v>
      </c>
      <c r="K283" s="3">
        <f t="shared" si="4"/>
        <v>5723.8300471453022</v>
      </c>
      <c r="L283" t="s">
        <v>105</v>
      </c>
      <c r="M283" s="3">
        <v>317.99055817473902</v>
      </c>
    </row>
    <row r="284" spans="1:13" x14ac:dyDescent="0.25">
      <c r="A284">
        <v>1279</v>
      </c>
      <c r="B284" s="5">
        <v>44369.504444444443</v>
      </c>
      <c r="C284">
        <v>17287</v>
      </c>
      <c r="D284" t="s">
        <v>59</v>
      </c>
      <c r="E284" t="s">
        <v>25</v>
      </c>
      <c r="F284">
        <v>13</v>
      </c>
      <c r="G284" s="3">
        <v>131.91847828163509</v>
      </c>
      <c r="H284">
        <v>197940</v>
      </c>
      <c r="I284" t="s">
        <v>60</v>
      </c>
      <c r="J284" t="str">
        <f>VLOOKUP(I284, 'State-Regions'!A:B, 2, FALSE)</f>
        <v>South</v>
      </c>
      <c r="K284" s="3">
        <f t="shared" si="4"/>
        <v>1714.9402176612562</v>
      </c>
      <c r="L284" t="s">
        <v>105</v>
      </c>
      <c r="M284" s="3">
        <v>131.91847828163509</v>
      </c>
    </row>
    <row r="285" spans="1:13" x14ac:dyDescent="0.25">
      <c r="A285">
        <v>1280</v>
      </c>
      <c r="B285" s="5">
        <v>44419.856574074067</v>
      </c>
      <c r="C285">
        <v>16027</v>
      </c>
      <c r="D285" t="s">
        <v>40</v>
      </c>
      <c r="E285" t="s">
        <v>31</v>
      </c>
      <c r="F285">
        <v>10</v>
      </c>
      <c r="G285" s="3">
        <v>36.260867494926707</v>
      </c>
      <c r="H285">
        <v>198835</v>
      </c>
      <c r="I285" t="s">
        <v>21</v>
      </c>
      <c r="J285" t="str">
        <f>VLOOKUP(I285, 'State-Regions'!A:B, 2, FALSE)</f>
        <v>Northeast</v>
      </c>
      <c r="K285" s="3">
        <f t="shared" si="4"/>
        <v>362.60867494926708</v>
      </c>
      <c r="L285" t="s">
        <v>105</v>
      </c>
      <c r="M285" s="3">
        <v>36.260867494926707</v>
      </c>
    </row>
    <row r="286" spans="1:13" x14ac:dyDescent="0.25">
      <c r="A286">
        <v>1281</v>
      </c>
      <c r="B286" s="5">
        <v>44395.157106481478</v>
      </c>
      <c r="C286">
        <v>18102</v>
      </c>
      <c r="D286" t="s">
        <v>61</v>
      </c>
      <c r="E286" t="s">
        <v>25</v>
      </c>
      <c r="F286">
        <v>2</v>
      </c>
      <c r="G286" s="3">
        <v>148.32892412868591</v>
      </c>
      <c r="H286">
        <v>161869</v>
      </c>
      <c r="I286" t="s">
        <v>79</v>
      </c>
      <c r="J286" t="str">
        <f>VLOOKUP(I286, 'State-Regions'!A:B, 2, FALSE)</f>
        <v>Midwest</v>
      </c>
      <c r="K286" s="3">
        <f t="shared" si="4"/>
        <v>296.65784825737182</v>
      </c>
      <c r="L286" t="s">
        <v>105</v>
      </c>
      <c r="M286" s="3">
        <v>148.32892412868591</v>
      </c>
    </row>
    <row r="287" spans="1:13" x14ac:dyDescent="0.25">
      <c r="A287">
        <v>1282</v>
      </c>
      <c r="B287" s="5">
        <v>44218.951157407413</v>
      </c>
      <c r="C287">
        <v>11567</v>
      </c>
      <c r="D287" t="s">
        <v>22</v>
      </c>
      <c r="E287" t="s">
        <v>31</v>
      </c>
      <c r="F287">
        <v>13</v>
      </c>
      <c r="G287" s="3">
        <v>395.1171830452468</v>
      </c>
      <c r="H287">
        <v>194548</v>
      </c>
      <c r="I287" t="s">
        <v>85</v>
      </c>
      <c r="J287" t="str">
        <f>VLOOKUP(I287, 'State-Regions'!A:B, 2, FALSE)</f>
        <v>West</v>
      </c>
      <c r="K287" s="3">
        <f t="shared" si="4"/>
        <v>5136.5233795882086</v>
      </c>
      <c r="L287" t="s">
        <v>105</v>
      </c>
      <c r="M287" s="3">
        <v>395.1171830452468</v>
      </c>
    </row>
    <row r="288" spans="1:13" x14ac:dyDescent="0.25">
      <c r="A288">
        <v>1283</v>
      </c>
      <c r="B288" s="5">
        <v>44439.659629629627</v>
      </c>
      <c r="C288">
        <v>17567</v>
      </c>
      <c r="D288" t="s">
        <v>16</v>
      </c>
      <c r="E288" t="s">
        <v>12</v>
      </c>
      <c r="F288">
        <v>12</v>
      </c>
      <c r="G288" s="3">
        <v>369.40364593894623</v>
      </c>
      <c r="H288">
        <v>167552</v>
      </c>
      <c r="I288" t="s">
        <v>71</v>
      </c>
      <c r="J288" t="str">
        <f>VLOOKUP(I288, 'State-Regions'!A:B, 2, FALSE)</f>
        <v>South</v>
      </c>
      <c r="K288" s="3">
        <f t="shared" si="4"/>
        <v>4432.8437512673545</v>
      </c>
      <c r="L288" t="s">
        <v>105</v>
      </c>
      <c r="M288" s="3">
        <v>369.40364593894623</v>
      </c>
    </row>
    <row r="289" spans="1:13" x14ac:dyDescent="0.25">
      <c r="A289">
        <v>1284</v>
      </c>
      <c r="B289" s="5">
        <v>44362.245682870373</v>
      </c>
      <c r="C289">
        <v>11024</v>
      </c>
      <c r="D289" t="s">
        <v>27</v>
      </c>
      <c r="E289" t="s">
        <v>14</v>
      </c>
      <c r="F289">
        <v>4</v>
      </c>
      <c r="G289" s="3">
        <v>341.70295202542007</v>
      </c>
      <c r="H289">
        <v>143250</v>
      </c>
      <c r="I289" t="s">
        <v>86</v>
      </c>
      <c r="J289" t="str">
        <f>VLOOKUP(I289, 'State-Regions'!A:B, 2, FALSE)</f>
        <v>West</v>
      </c>
      <c r="K289" s="3">
        <f t="shared" si="4"/>
        <v>1366.8118081016803</v>
      </c>
      <c r="L289" t="s">
        <v>105</v>
      </c>
      <c r="M289" s="3">
        <v>341.70295202542007</v>
      </c>
    </row>
    <row r="290" spans="1:13" x14ac:dyDescent="0.25">
      <c r="A290">
        <v>1285</v>
      </c>
      <c r="B290" s="5">
        <v>44454.414351851847</v>
      </c>
      <c r="C290">
        <v>11256</v>
      </c>
      <c r="D290" t="s">
        <v>74</v>
      </c>
      <c r="E290" t="s">
        <v>12</v>
      </c>
      <c r="F290">
        <v>15</v>
      </c>
      <c r="G290" s="3">
        <v>482.46789028674419</v>
      </c>
      <c r="H290">
        <v>158646</v>
      </c>
      <c r="I290" t="s">
        <v>79</v>
      </c>
      <c r="J290" t="str">
        <f>VLOOKUP(I290, 'State-Regions'!A:B, 2, FALSE)</f>
        <v>Midwest</v>
      </c>
      <c r="K290" s="3">
        <f t="shared" si="4"/>
        <v>7237.0183543011626</v>
      </c>
      <c r="L290" t="s">
        <v>105</v>
      </c>
      <c r="M290" s="3">
        <v>482.46789028674419</v>
      </c>
    </row>
    <row r="291" spans="1:13" x14ac:dyDescent="0.25">
      <c r="A291">
        <v>1286</v>
      </c>
      <c r="B291" s="5">
        <v>44246.463645833333</v>
      </c>
      <c r="C291">
        <v>15026</v>
      </c>
      <c r="D291" t="s">
        <v>24</v>
      </c>
      <c r="E291" t="s">
        <v>31</v>
      </c>
      <c r="F291">
        <v>3</v>
      </c>
      <c r="G291" s="3">
        <v>389.40280215074108</v>
      </c>
      <c r="H291">
        <v>152061</v>
      </c>
      <c r="I291" t="s">
        <v>33</v>
      </c>
      <c r="J291" t="str">
        <f>VLOOKUP(I291, 'State-Regions'!A:B, 2, FALSE)</f>
        <v>Midwest</v>
      </c>
      <c r="K291" s="3">
        <f t="shared" si="4"/>
        <v>1168.2084064522232</v>
      </c>
      <c r="L291" t="s">
        <v>105</v>
      </c>
      <c r="M291" s="3">
        <v>389.40280215074108</v>
      </c>
    </row>
    <row r="292" spans="1:13" x14ac:dyDescent="0.25">
      <c r="A292">
        <v>1287</v>
      </c>
      <c r="B292" s="5">
        <v>44484.485775462963</v>
      </c>
      <c r="C292">
        <v>15271</v>
      </c>
      <c r="D292" t="s">
        <v>36</v>
      </c>
      <c r="E292" t="s">
        <v>31</v>
      </c>
      <c r="F292">
        <v>7</v>
      </c>
      <c r="G292" s="3">
        <v>460.34935054896482</v>
      </c>
      <c r="H292">
        <v>187103</v>
      </c>
      <c r="I292" t="s">
        <v>87</v>
      </c>
      <c r="J292" t="str">
        <f>VLOOKUP(I292, 'State-Regions'!A:B, 2, FALSE)</f>
        <v>South</v>
      </c>
      <c r="K292" s="3">
        <f t="shared" si="4"/>
        <v>3222.4454538427535</v>
      </c>
      <c r="L292" t="s">
        <v>105</v>
      </c>
      <c r="M292" s="3">
        <v>460.34935054896482</v>
      </c>
    </row>
    <row r="293" spans="1:13" x14ac:dyDescent="0.25">
      <c r="A293">
        <v>1288</v>
      </c>
      <c r="B293" s="5">
        <v>44542.076527777783</v>
      </c>
      <c r="C293">
        <v>18638</v>
      </c>
      <c r="D293" t="s">
        <v>11</v>
      </c>
      <c r="E293" t="s">
        <v>14</v>
      </c>
      <c r="F293">
        <v>11</v>
      </c>
      <c r="G293" s="3">
        <v>300.13255612186111</v>
      </c>
      <c r="H293">
        <v>179792</v>
      </c>
      <c r="I293" t="s">
        <v>42</v>
      </c>
      <c r="J293" t="str">
        <f>VLOOKUP(I293, 'State-Regions'!A:B, 2, FALSE)</f>
        <v>West</v>
      </c>
      <c r="K293" s="3">
        <f t="shared" si="4"/>
        <v>3301.4581173404722</v>
      </c>
      <c r="L293" t="s">
        <v>105</v>
      </c>
      <c r="M293" s="3">
        <v>300.13255612186111</v>
      </c>
    </row>
    <row r="294" spans="1:13" x14ac:dyDescent="0.25">
      <c r="A294">
        <v>1289</v>
      </c>
      <c r="B294" s="5">
        <v>44197.565011574072</v>
      </c>
      <c r="C294">
        <v>14542</v>
      </c>
      <c r="D294" t="s">
        <v>65</v>
      </c>
      <c r="E294" t="s">
        <v>31</v>
      </c>
      <c r="F294">
        <v>4</v>
      </c>
      <c r="G294" s="3">
        <v>114.0988217852049</v>
      </c>
      <c r="H294">
        <v>190566</v>
      </c>
      <c r="I294" t="s">
        <v>63</v>
      </c>
      <c r="J294" t="str">
        <f>VLOOKUP(I294, 'State-Regions'!A:B, 2, FALSE)</f>
        <v>Midwest</v>
      </c>
      <c r="K294" s="3">
        <f t="shared" si="4"/>
        <v>456.39528714081962</v>
      </c>
      <c r="L294" t="s">
        <v>105</v>
      </c>
      <c r="M294" s="3">
        <v>114.0988217852049</v>
      </c>
    </row>
    <row r="295" spans="1:13" x14ac:dyDescent="0.25">
      <c r="A295">
        <v>1290</v>
      </c>
      <c r="B295" s="5">
        <v>44271.747349537043</v>
      </c>
      <c r="C295">
        <v>11770</v>
      </c>
      <c r="D295" t="s">
        <v>11</v>
      </c>
      <c r="E295" t="s">
        <v>25</v>
      </c>
      <c r="F295">
        <v>3</v>
      </c>
      <c r="G295" s="3">
        <v>214.05603786336721</v>
      </c>
      <c r="H295">
        <v>185621</v>
      </c>
      <c r="I295" t="s">
        <v>62</v>
      </c>
      <c r="J295" t="str">
        <f>VLOOKUP(I295, 'State-Regions'!A:B, 2, FALSE)</f>
        <v>South</v>
      </c>
      <c r="K295" s="3">
        <f t="shared" si="4"/>
        <v>642.1681135901016</v>
      </c>
      <c r="L295" t="s">
        <v>105</v>
      </c>
      <c r="M295" s="3">
        <v>214.05603786336721</v>
      </c>
    </row>
    <row r="296" spans="1:13" x14ac:dyDescent="0.25">
      <c r="A296">
        <v>1291</v>
      </c>
      <c r="B296" s="5">
        <v>44258.343819444453</v>
      </c>
      <c r="C296">
        <v>16300</v>
      </c>
      <c r="D296" t="s">
        <v>20</v>
      </c>
      <c r="E296" t="s">
        <v>12</v>
      </c>
      <c r="F296">
        <v>2</v>
      </c>
      <c r="G296" s="3">
        <v>237.70184916048439</v>
      </c>
      <c r="H296">
        <v>116818</v>
      </c>
      <c r="I296" t="s">
        <v>23</v>
      </c>
      <c r="J296" t="str">
        <f>VLOOKUP(I296, 'State-Regions'!A:B, 2, FALSE)</f>
        <v>South</v>
      </c>
      <c r="K296" s="3">
        <f t="shared" si="4"/>
        <v>475.40369832096877</v>
      </c>
      <c r="L296" t="s">
        <v>105</v>
      </c>
      <c r="M296" s="3">
        <v>237.70184916048439</v>
      </c>
    </row>
    <row r="297" spans="1:13" x14ac:dyDescent="0.25">
      <c r="A297">
        <v>1292</v>
      </c>
      <c r="B297" s="5">
        <v>44231.694305555553</v>
      </c>
      <c r="C297">
        <v>13762</v>
      </c>
      <c r="D297" t="s">
        <v>59</v>
      </c>
      <c r="E297" t="s">
        <v>12</v>
      </c>
      <c r="F297">
        <v>1</v>
      </c>
      <c r="G297" s="3">
        <v>121.4747238901243</v>
      </c>
      <c r="H297">
        <v>151383</v>
      </c>
      <c r="I297" t="s">
        <v>70</v>
      </c>
      <c r="J297" t="str">
        <f>VLOOKUP(I297, 'State-Regions'!A:B, 2, FALSE)</f>
        <v>West</v>
      </c>
      <c r="K297" s="3">
        <f t="shared" si="4"/>
        <v>121.4747238901243</v>
      </c>
      <c r="L297" t="s">
        <v>105</v>
      </c>
      <c r="M297" s="3">
        <v>121.4747238901243</v>
      </c>
    </row>
    <row r="298" spans="1:13" x14ac:dyDescent="0.25">
      <c r="A298">
        <v>1293</v>
      </c>
      <c r="B298" s="5">
        <v>44458.838159722232</v>
      </c>
      <c r="C298">
        <v>15119</v>
      </c>
      <c r="D298" t="s">
        <v>38</v>
      </c>
      <c r="E298" t="s">
        <v>25</v>
      </c>
      <c r="F298">
        <v>13</v>
      </c>
      <c r="G298" s="3">
        <v>66.314021775483752</v>
      </c>
      <c r="H298">
        <v>118757</v>
      </c>
      <c r="I298" t="s">
        <v>13</v>
      </c>
      <c r="J298" t="str">
        <f>VLOOKUP(I298, 'State-Regions'!A:B, 2, FALSE)</f>
        <v>Midwest</v>
      </c>
      <c r="K298" s="3">
        <f t="shared" si="4"/>
        <v>862.08228308128878</v>
      </c>
      <c r="L298" t="s">
        <v>105</v>
      </c>
      <c r="M298" s="3">
        <v>66.314021775483752</v>
      </c>
    </row>
    <row r="299" spans="1:13" x14ac:dyDescent="0.25">
      <c r="A299">
        <v>1294</v>
      </c>
      <c r="B299" s="5">
        <v>44284.971145833333</v>
      </c>
      <c r="C299">
        <v>16986</v>
      </c>
      <c r="D299" t="s">
        <v>24</v>
      </c>
      <c r="E299" t="s">
        <v>31</v>
      </c>
      <c r="F299">
        <v>5</v>
      </c>
      <c r="G299" s="3">
        <v>455.06273912930021</v>
      </c>
      <c r="H299">
        <v>179947</v>
      </c>
      <c r="I299" t="s">
        <v>76</v>
      </c>
      <c r="J299" t="str">
        <f>VLOOKUP(I299, 'State-Regions'!A:B, 2, FALSE)</f>
        <v>West</v>
      </c>
      <c r="K299" s="3">
        <f t="shared" si="4"/>
        <v>2275.3136956465009</v>
      </c>
      <c r="L299" t="s">
        <v>105</v>
      </c>
      <c r="M299" s="3">
        <v>455.06273912930021</v>
      </c>
    </row>
    <row r="300" spans="1:13" x14ac:dyDescent="0.25">
      <c r="A300">
        <v>1295</v>
      </c>
      <c r="B300" s="5">
        <v>44401.961643518523</v>
      </c>
      <c r="C300">
        <v>18558</v>
      </c>
      <c r="D300" t="s">
        <v>44</v>
      </c>
      <c r="E300" t="s">
        <v>12</v>
      </c>
      <c r="F300">
        <v>2</v>
      </c>
      <c r="G300" s="3">
        <v>223.8747516271543</v>
      </c>
      <c r="H300">
        <v>179898</v>
      </c>
      <c r="I300" t="s">
        <v>33</v>
      </c>
      <c r="J300" t="str">
        <f>VLOOKUP(I300, 'State-Regions'!A:B, 2, FALSE)</f>
        <v>Midwest</v>
      </c>
      <c r="K300" s="3">
        <f t="shared" si="4"/>
        <v>447.74950325430859</v>
      </c>
      <c r="L300" t="s">
        <v>105</v>
      </c>
      <c r="M300" s="3">
        <v>223.8747516271543</v>
      </c>
    </row>
    <row r="301" spans="1:13" x14ac:dyDescent="0.25">
      <c r="A301">
        <v>1296</v>
      </c>
      <c r="B301" s="5">
        <v>44325.10597222222</v>
      </c>
      <c r="C301">
        <v>14053</v>
      </c>
      <c r="D301" t="s">
        <v>30</v>
      </c>
      <c r="E301" t="s">
        <v>14</v>
      </c>
      <c r="F301">
        <v>11</v>
      </c>
      <c r="G301" s="3">
        <v>417.52222216762772</v>
      </c>
      <c r="H301">
        <v>132550</v>
      </c>
      <c r="I301" t="s">
        <v>82</v>
      </c>
      <c r="J301" t="str">
        <f>VLOOKUP(I301, 'State-Regions'!A:B, 2, FALSE)</f>
        <v>West</v>
      </c>
      <c r="K301" s="3">
        <f t="shared" si="4"/>
        <v>4592.7444438439052</v>
      </c>
      <c r="L301" t="s">
        <v>105</v>
      </c>
      <c r="M301" s="3">
        <v>417.52222216762772</v>
      </c>
    </row>
    <row r="302" spans="1:13" x14ac:dyDescent="0.25">
      <c r="A302">
        <v>1297</v>
      </c>
      <c r="B302" s="5">
        <v>44297.569814814808</v>
      </c>
      <c r="C302">
        <v>19549</v>
      </c>
      <c r="D302" t="s">
        <v>20</v>
      </c>
      <c r="E302" t="s">
        <v>12</v>
      </c>
      <c r="F302">
        <v>4</v>
      </c>
      <c r="G302" s="3">
        <v>452.34434714711472</v>
      </c>
      <c r="H302">
        <v>160323</v>
      </c>
      <c r="I302" t="s">
        <v>68</v>
      </c>
      <c r="J302" t="str">
        <f>VLOOKUP(I302, 'State-Regions'!A:B, 2, FALSE)</f>
        <v>Northeast</v>
      </c>
      <c r="K302" s="3">
        <f t="shared" si="4"/>
        <v>1809.3773885884589</v>
      </c>
      <c r="L302" t="s">
        <v>105</v>
      </c>
      <c r="M302" s="3">
        <v>452.34434714711472</v>
      </c>
    </row>
    <row r="303" spans="1:13" x14ac:dyDescent="0.25">
      <c r="A303">
        <v>1298</v>
      </c>
      <c r="B303" s="5">
        <v>44487.85633101852</v>
      </c>
      <c r="C303">
        <v>18284</v>
      </c>
      <c r="D303" t="s">
        <v>43</v>
      </c>
      <c r="E303" t="s">
        <v>14</v>
      </c>
      <c r="F303">
        <v>5</v>
      </c>
      <c r="G303" s="3">
        <v>427.29180645744952</v>
      </c>
      <c r="H303">
        <v>165325</v>
      </c>
      <c r="I303" t="s">
        <v>35</v>
      </c>
      <c r="J303" t="str">
        <f>VLOOKUP(I303, 'State-Regions'!A:B, 2, FALSE)</f>
        <v>West</v>
      </c>
      <c r="K303" s="3">
        <f t="shared" si="4"/>
        <v>2136.4590322872477</v>
      </c>
      <c r="L303" t="s">
        <v>105</v>
      </c>
      <c r="M303" s="3">
        <v>427.29180645744952</v>
      </c>
    </row>
    <row r="304" spans="1:13" x14ac:dyDescent="0.25">
      <c r="A304">
        <v>1299</v>
      </c>
      <c r="B304" s="5">
        <v>44504.030995370369</v>
      </c>
      <c r="C304">
        <v>11318</v>
      </c>
      <c r="D304" t="s">
        <v>11</v>
      </c>
      <c r="E304" t="s">
        <v>31</v>
      </c>
      <c r="F304">
        <v>9</v>
      </c>
      <c r="G304" s="3">
        <v>107.1183658078286</v>
      </c>
      <c r="H304">
        <v>124485</v>
      </c>
      <c r="I304" t="s">
        <v>70</v>
      </c>
      <c r="J304" t="str">
        <f>VLOOKUP(I304, 'State-Regions'!A:B, 2, FALSE)</f>
        <v>West</v>
      </c>
      <c r="K304" s="3">
        <f t="shared" si="4"/>
        <v>964.06529227045735</v>
      </c>
      <c r="L304" t="s">
        <v>105</v>
      </c>
      <c r="M304" s="3">
        <v>107.1183658078286</v>
      </c>
    </row>
    <row r="305" spans="1:13" x14ac:dyDescent="0.25">
      <c r="A305">
        <v>1300</v>
      </c>
      <c r="B305" s="5">
        <v>44312.880648148152</v>
      </c>
      <c r="C305">
        <v>13334</v>
      </c>
      <c r="D305" t="s">
        <v>16</v>
      </c>
      <c r="E305" t="s">
        <v>12</v>
      </c>
      <c r="F305">
        <v>9</v>
      </c>
      <c r="G305" s="3">
        <v>245.73990047265971</v>
      </c>
      <c r="H305">
        <v>121403</v>
      </c>
      <c r="I305" t="s">
        <v>33</v>
      </c>
      <c r="J305" t="str">
        <f>VLOOKUP(I305, 'State-Regions'!A:B, 2, FALSE)</f>
        <v>Midwest</v>
      </c>
      <c r="K305" s="3">
        <f t="shared" si="4"/>
        <v>2211.6591042539376</v>
      </c>
      <c r="L305" t="s">
        <v>105</v>
      </c>
      <c r="M305" s="3">
        <v>245.73990047265971</v>
      </c>
    </row>
    <row r="306" spans="1:13" x14ac:dyDescent="0.25">
      <c r="A306">
        <v>1103</v>
      </c>
      <c r="B306" s="5">
        <v>44278.754861111112</v>
      </c>
      <c r="C306">
        <v>17932</v>
      </c>
      <c r="D306" t="s">
        <v>40</v>
      </c>
      <c r="E306" t="s">
        <v>12</v>
      </c>
      <c r="F306">
        <v>12</v>
      </c>
      <c r="G306" s="3">
        <v>79.688305795068359</v>
      </c>
      <c r="H306">
        <v>171337</v>
      </c>
      <c r="I306" t="s">
        <v>54</v>
      </c>
      <c r="J306" t="str">
        <f>VLOOKUP(I306, 'State-Regions'!A:B, 2, FALSE)</f>
        <v>Midwest</v>
      </c>
      <c r="K306" s="3">
        <f t="shared" si="4"/>
        <v>956.25966954082037</v>
      </c>
      <c r="L306" t="s">
        <v>105</v>
      </c>
      <c r="M306" s="3">
        <v>79.688305795068359</v>
      </c>
    </row>
    <row r="307" spans="1:13" x14ac:dyDescent="0.25">
      <c r="A307">
        <v>1187</v>
      </c>
      <c r="B307" s="5">
        <v>44381.172268518523</v>
      </c>
      <c r="C307">
        <v>11292</v>
      </c>
      <c r="D307" t="s">
        <v>16</v>
      </c>
      <c r="E307" t="s">
        <v>12</v>
      </c>
      <c r="F307">
        <v>13</v>
      </c>
      <c r="G307" s="3">
        <v>73.705039000201481</v>
      </c>
      <c r="H307">
        <v>128369</v>
      </c>
      <c r="I307" t="s">
        <v>83</v>
      </c>
      <c r="J307" t="str">
        <f>VLOOKUP(I307, 'State-Regions'!A:B, 2, FALSE)</f>
        <v>Northeast</v>
      </c>
      <c r="K307" s="3">
        <f t="shared" si="4"/>
        <v>958.16550700261928</v>
      </c>
      <c r="L307" t="s">
        <v>105</v>
      </c>
      <c r="M307" s="3">
        <v>73.705039000201481</v>
      </c>
    </row>
    <row r="308" spans="1:13" x14ac:dyDescent="0.25">
      <c r="A308">
        <v>1233</v>
      </c>
      <c r="B308" s="5">
        <v>44314.461481481478</v>
      </c>
      <c r="C308">
        <v>16966</v>
      </c>
      <c r="D308" t="s">
        <v>30</v>
      </c>
      <c r="E308" t="s">
        <v>31</v>
      </c>
      <c r="F308">
        <v>13</v>
      </c>
      <c r="G308" s="3">
        <v>15.15715818143701</v>
      </c>
      <c r="H308">
        <v>167973</v>
      </c>
      <c r="I308" t="s">
        <v>53</v>
      </c>
      <c r="J308" t="str">
        <f>VLOOKUP(I308, 'State-Regions'!A:B, 2, FALSE)</f>
        <v>West</v>
      </c>
      <c r="K308" s="3">
        <f t="shared" si="4"/>
        <v>197.04305635868113</v>
      </c>
      <c r="L308" t="s">
        <v>105</v>
      </c>
      <c r="M308" s="3">
        <v>15.15715818143701</v>
      </c>
    </row>
    <row r="309" spans="1:13" x14ac:dyDescent="0.25">
      <c r="A309">
        <v>1227</v>
      </c>
      <c r="B309" s="5">
        <v>44227.460717592592</v>
      </c>
      <c r="C309">
        <v>13791</v>
      </c>
      <c r="D309" t="s">
        <v>34</v>
      </c>
      <c r="E309" t="s">
        <v>31</v>
      </c>
      <c r="F309">
        <v>6</v>
      </c>
      <c r="G309" s="3">
        <v>74.518829181083788</v>
      </c>
      <c r="H309">
        <v>194954</v>
      </c>
      <c r="I309" t="s">
        <v>62</v>
      </c>
      <c r="J309" t="str">
        <f>VLOOKUP(I309, 'State-Regions'!A:B, 2, FALSE)</f>
        <v>South</v>
      </c>
      <c r="K309" s="3">
        <f t="shared" si="4"/>
        <v>447.11297508650273</v>
      </c>
      <c r="L309" t="s">
        <v>105</v>
      </c>
      <c r="M309" s="3">
        <v>74.518829181083788</v>
      </c>
    </row>
    <row r="310" spans="1:13" x14ac:dyDescent="0.25">
      <c r="A310">
        <v>1007</v>
      </c>
      <c r="B310" s="5">
        <v>44361.362800925926</v>
      </c>
      <c r="C310">
        <v>16025</v>
      </c>
      <c r="D310" t="s">
        <v>24</v>
      </c>
      <c r="E310" t="s">
        <v>25</v>
      </c>
      <c r="F310">
        <v>5</v>
      </c>
      <c r="G310" s="3">
        <v>296.26549231574649</v>
      </c>
      <c r="H310">
        <v>109358</v>
      </c>
      <c r="I310" t="s">
        <v>32</v>
      </c>
      <c r="J310" t="str">
        <f>VLOOKUP(I310, 'State-Regions'!A:B, 2, FALSE)</f>
        <v>Midwest</v>
      </c>
      <c r="K310" s="3">
        <f t="shared" si="4"/>
        <v>1481.3274615787325</v>
      </c>
      <c r="L310" t="s">
        <v>105</v>
      </c>
      <c r="M310" s="3">
        <v>296.26549231574649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8B4AE-49E0-45F3-8EC4-E5E9B4024595}">
  <dimension ref="A1:B51"/>
  <sheetViews>
    <sheetView workbookViewId="0">
      <selection activeCell="D13" sqref="D13"/>
    </sheetView>
  </sheetViews>
  <sheetFormatPr defaultRowHeight="15" x14ac:dyDescent="0.25"/>
  <sheetData>
    <row r="1" spans="1:2" x14ac:dyDescent="0.25">
      <c r="A1" s="1" t="s">
        <v>8</v>
      </c>
      <c r="B1" s="1" t="s">
        <v>92</v>
      </c>
    </row>
    <row r="2" spans="1:2" x14ac:dyDescent="0.25">
      <c r="A2" t="s">
        <v>55</v>
      </c>
      <c r="B2" t="s">
        <v>93</v>
      </c>
    </row>
    <row r="3" spans="1:2" x14ac:dyDescent="0.25">
      <c r="A3" t="s">
        <v>84</v>
      </c>
      <c r="B3" t="s">
        <v>93</v>
      </c>
    </row>
    <row r="4" spans="1:2" x14ac:dyDescent="0.25">
      <c r="A4" t="s">
        <v>21</v>
      </c>
      <c r="B4" t="s">
        <v>93</v>
      </c>
    </row>
    <row r="5" spans="1:2" x14ac:dyDescent="0.25">
      <c r="A5" t="s">
        <v>68</v>
      </c>
      <c r="B5" t="s">
        <v>93</v>
      </c>
    </row>
    <row r="6" spans="1:2" x14ac:dyDescent="0.25">
      <c r="A6" t="s">
        <v>66</v>
      </c>
      <c r="B6" t="s">
        <v>93</v>
      </c>
    </row>
    <row r="7" spans="1:2" x14ac:dyDescent="0.25">
      <c r="A7" t="s">
        <v>80</v>
      </c>
      <c r="B7" t="s">
        <v>93</v>
      </c>
    </row>
    <row r="8" spans="1:2" x14ac:dyDescent="0.25">
      <c r="A8" t="s">
        <v>83</v>
      </c>
      <c r="B8" t="s">
        <v>93</v>
      </c>
    </row>
    <row r="9" spans="1:2" x14ac:dyDescent="0.25">
      <c r="A9" t="s">
        <v>50</v>
      </c>
      <c r="B9" t="s">
        <v>93</v>
      </c>
    </row>
    <row r="10" spans="1:2" x14ac:dyDescent="0.25">
      <c r="A10" t="s">
        <v>37</v>
      </c>
      <c r="B10" t="s">
        <v>93</v>
      </c>
    </row>
    <row r="11" spans="1:2" x14ac:dyDescent="0.25">
      <c r="A11" t="s">
        <v>32</v>
      </c>
      <c r="B11" t="s">
        <v>94</v>
      </c>
    </row>
    <row r="12" spans="1:2" x14ac:dyDescent="0.25">
      <c r="A12" t="s">
        <v>33</v>
      </c>
      <c r="B12" t="s">
        <v>94</v>
      </c>
    </row>
    <row r="13" spans="1:2" x14ac:dyDescent="0.25">
      <c r="A13" t="s">
        <v>79</v>
      </c>
      <c r="B13" t="s">
        <v>94</v>
      </c>
    </row>
    <row r="14" spans="1:2" x14ac:dyDescent="0.25">
      <c r="A14" t="s">
        <v>63</v>
      </c>
      <c r="B14" t="s">
        <v>94</v>
      </c>
    </row>
    <row r="15" spans="1:2" x14ac:dyDescent="0.25">
      <c r="A15" t="s">
        <v>39</v>
      </c>
      <c r="B15" t="s">
        <v>94</v>
      </c>
    </row>
    <row r="16" spans="1:2" x14ac:dyDescent="0.25">
      <c r="A16" t="s">
        <v>15</v>
      </c>
      <c r="B16" t="s">
        <v>94</v>
      </c>
    </row>
    <row r="17" spans="1:2" x14ac:dyDescent="0.25">
      <c r="A17" t="s">
        <v>58</v>
      </c>
      <c r="B17" t="s">
        <v>94</v>
      </c>
    </row>
    <row r="18" spans="1:2" x14ac:dyDescent="0.25">
      <c r="A18" t="s">
        <v>75</v>
      </c>
      <c r="B18" t="s">
        <v>94</v>
      </c>
    </row>
    <row r="19" spans="1:2" x14ac:dyDescent="0.25">
      <c r="A19" t="s">
        <v>13</v>
      </c>
      <c r="B19" t="s">
        <v>94</v>
      </c>
    </row>
    <row r="20" spans="1:2" x14ac:dyDescent="0.25">
      <c r="A20" t="s">
        <v>41</v>
      </c>
      <c r="B20" t="s">
        <v>94</v>
      </c>
    </row>
    <row r="21" spans="1:2" x14ac:dyDescent="0.25">
      <c r="A21" t="s">
        <v>54</v>
      </c>
      <c r="B21" t="s">
        <v>94</v>
      </c>
    </row>
    <row r="22" spans="1:2" x14ac:dyDescent="0.25">
      <c r="A22" t="s">
        <v>88</v>
      </c>
      <c r="B22" t="s">
        <v>94</v>
      </c>
    </row>
    <row r="23" spans="1:2" x14ac:dyDescent="0.25">
      <c r="A23" t="s">
        <v>81</v>
      </c>
      <c r="B23" t="s">
        <v>95</v>
      </c>
    </row>
    <row r="24" spans="1:2" x14ac:dyDescent="0.25">
      <c r="A24" t="s">
        <v>29</v>
      </c>
      <c r="B24" t="s">
        <v>95</v>
      </c>
    </row>
    <row r="25" spans="1:2" x14ac:dyDescent="0.25">
      <c r="A25" t="s">
        <v>17</v>
      </c>
      <c r="B25" t="s">
        <v>95</v>
      </c>
    </row>
    <row r="26" spans="1:2" x14ac:dyDescent="0.25">
      <c r="A26" t="s">
        <v>71</v>
      </c>
      <c r="B26" t="s">
        <v>95</v>
      </c>
    </row>
    <row r="27" spans="1:2" x14ac:dyDescent="0.25">
      <c r="A27" t="s">
        <v>49</v>
      </c>
      <c r="B27" t="s">
        <v>95</v>
      </c>
    </row>
    <row r="28" spans="1:2" x14ac:dyDescent="0.25">
      <c r="A28" t="s">
        <v>23</v>
      </c>
      <c r="B28" t="s">
        <v>95</v>
      </c>
    </row>
    <row r="29" spans="1:2" x14ac:dyDescent="0.25">
      <c r="A29" t="s">
        <v>62</v>
      </c>
      <c r="B29" t="s">
        <v>95</v>
      </c>
    </row>
    <row r="30" spans="1:2" x14ac:dyDescent="0.25">
      <c r="A30" t="s">
        <v>57</v>
      </c>
      <c r="B30" t="s">
        <v>95</v>
      </c>
    </row>
    <row r="31" spans="1:2" x14ac:dyDescent="0.25">
      <c r="A31" t="s">
        <v>28</v>
      </c>
      <c r="B31" t="s">
        <v>95</v>
      </c>
    </row>
    <row r="32" spans="1:2" x14ac:dyDescent="0.25">
      <c r="A32" t="s">
        <v>19</v>
      </c>
      <c r="B32" t="s">
        <v>95</v>
      </c>
    </row>
    <row r="33" spans="1:2" x14ac:dyDescent="0.25">
      <c r="A33" t="s">
        <v>78</v>
      </c>
      <c r="B33" t="s">
        <v>95</v>
      </c>
    </row>
    <row r="34" spans="1:2" x14ac:dyDescent="0.25">
      <c r="A34" t="s">
        <v>45</v>
      </c>
      <c r="B34" t="s">
        <v>95</v>
      </c>
    </row>
    <row r="35" spans="1:2" x14ac:dyDescent="0.25">
      <c r="A35" t="s">
        <v>60</v>
      </c>
      <c r="B35" t="s">
        <v>95</v>
      </c>
    </row>
    <row r="36" spans="1:2" x14ac:dyDescent="0.25">
      <c r="A36" t="s">
        <v>87</v>
      </c>
      <c r="B36" t="s">
        <v>95</v>
      </c>
    </row>
    <row r="37" spans="1:2" x14ac:dyDescent="0.25">
      <c r="A37" t="s">
        <v>46</v>
      </c>
      <c r="B37" t="s">
        <v>95</v>
      </c>
    </row>
    <row r="38" spans="1:2" x14ac:dyDescent="0.25">
      <c r="A38" t="s">
        <v>77</v>
      </c>
      <c r="B38" t="s">
        <v>95</v>
      </c>
    </row>
    <row r="39" spans="1:2" x14ac:dyDescent="0.25">
      <c r="A39" t="s">
        <v>35</v>
      </c>
      <c r="B39" t="s">
        <v>96</v>
      </c>
    </row>
    <row r="40" spans="1:2" x14ac:dyDescent="0.25">
      <c r="A40" t="s">
        <v>67</v>
      </c>
      <c r="B40" t="s">
        <v>96</v>
      </c>
    </row>
    <row r="41" spans="1:2" x14ac:dyDescent="0.25">
      <c r="A41" t="s">
        <v>82</v>
      </c>
      <c r="B41" t="s">
        <v>96</v>
      </c>
    </row>
    <row r="42" spans="1:2" x14ac:dyDescent="0.25">
      <c r="A42" t="s">
        <v>42</v>
      </c>
      <c r="B42" t="s">
        <v>96</v>
      </c>
    </row>
    <row r="43" spans="1:2" x14ac:dyDescent="0.25">
      <c r="A43" t="s">
        <v>64</v>
      </c>
      <c r="B43" t="s">
        <v>96</v>
      </c>
    </row>
    <row r="44" spans="1:2" x14ac:dyDescent="0.25">
      <c r="A44" t="s">
        <v>26</v>
      </c>
      <c r="B44" t="s">
        <v>96</v>
      </c>
    </row>
    <row r="45" spans="1:2" x14ac:dyDescent="0.25">
      <c r="A45" t="s">
        <v>56</v>
      </c>
      <c r="B45" t="s">
        <v>96</v>
      </c>
    </row>
    <row r="46" spans="1:2" x14ac:dyDescent="0.25">
      <c r="A46" t="s">
        <v>85</v>
      </c>
      <c r="B46" t="s">
        <v>96</v>
      </c>
    </row>
    <row r="47" spans="1:2" x14ac:dyDescent="0.25">
      <c r="A47" t="s">
        <v>76</v>
      </c>
      <c r="B47" t="s">
        <v>96</v>
      </c>
    </row>
    <row r="48" spans="1:2" x14ac:dyDescent="0.25">
      <c r="A48" t="s">
        <v>48</v>
      </c>
      <c r="B48" t="s">
        <v>96</v>
      </c>
    </row>
    <row r="49" spans="1:2" x14ac:dyDescent="0.25">
      <c r="A49" t="s">
        <v>86</v>
      </c>
      <c r="B49" t="s">
        <v>96</v>
      </c>
    </row>
    <row r="50" spans="1:2" x14ac:dyDescent="0.25">
      <c r="A50" t="s">
        <v>70</v>
      </c>
      <c r="B50" t="s">
        <v>96</v>
      </c>
    </row>
    <row r="51" spans="1:2" x14ac:dyDescent="0.25">
      <c r="A51" t="s">
        <v>53</v>
      </c>
      <c r="B51"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9769F-DD22-4361-8C05-071B8C3EED2C}">
  <dimension ref="A1:D11"/>
  <sheetViews>
    <sheetView workbookViewId="0">
      <selection activeCell="G12" sqref="G12"/>
    </sheetView>
  </sheetViews>
  <sheetFormatPr defaultRowHeight="15" x14ac:dyDescent="0.25"/>
  <cols>
    <col min="1" max="1" width="14.140625" bestFit="1" customWidth="1"/>
    <col min="2" max="2" width="8" bestFit="1" customWidth="1"/>
    <col min="3" max="3" width="12.140625" bestFit="1" customWidth="1"/>
    <col min="4" max="4" width="10.7109375" bestFit="1" customWidth="1"/>
  </cols>
  <sheetData>
    <row r="1" spans="1:4" x14ac:dyDescent="0.25">
      <c r="A1" t="s">
        <v>97</v>
      </c>
    </row>
    <row r="2" spans="1:4" x14ac:dyDescent="0.25">
      <c r="A2" t="s">
        <v>3</v>
      </c>
      <c r="B2" t="s">
        <v>92</v>
      </c>
      <c r="C2" t="s">
        <v>9</v>
      </c>
      <c r="D2" t="s">
        <v>98</v>
      </c>
    </row>
    <row r="3" spans="1:4" x14ac:dyDescent="0.25">
      <c r="A3" t="s">
        <v>43</v>
      </c>
      <c r="B3" t="s">
        <v>94</v>
      </c>
      <c r="C3">
        <f>SUMIFS(Transactions!K:K, Transactions!D:D, A3, Transactions!J:J,B3)</f>
        <v>21560.977640213474</v>
      </c>
      <c r="D3" t="s">
        <v>105</v>
      </c>
    </row>
    <row r="5" spans="1:4" x14ac:dyDescent="0.25">
      <c r="A5" t="s">
        <v>99</v>
      </c>
    </row>
    <row r="6" spans="1:4" x14ac:dyDescent="0.25">
      <c r="A6" t="s">
        <v>100</v>
      </c>
      <c r="B6" t="s">
        <v>92</v>
      </c>
      <c r="C6" t="s">
        <v>101</v>
      </c>
      <c r="D6" t="s">
        <v>98</v>
      </c>
    </row>
    <row r="7" spans="1:4" x14ac:dyDescent="0.25">
      <c r="A7">
        <v>3000</v>
      </c>
      <c r="B7" t="s">
        <v>94</v>
      </c>
      <c r="C7">
        <f>COUNTIFS(Transactions!K:K, "&gt;"&amp;A7, Transactions!J:J, B7)</f>
        <v>29</v>
      </c>
      <c r="D7" t="s">
        <v>105</v>
      </c>
    </row>
    <row r="9" spans="1:4" x14ac:dyDescent="0.25">
      <c r="A9" t="s">
        <v>102</v>
      </c>
    </row>
    <row r="10" spans="1:4" x14ac:dyDescent="0.25">
      <c r="A10" t="s">
        <v>3</v>
      </c>
      <c r="B10" t="s">
        <v>92</v>
      </c>
      <c r="C10" t="s">
        <v>103</v>
      </c>
      <c r="D10" t="s">
        <v>98</v>
      </c>
    </row>
    <row r="11" spans="1:4" x14ac:dyDescent="0.25">
      <c r="A11" t="s">
        <v>24</v>
      </c>
      <c r="B11" t="s">
        <v>96</v>
      </c>
      <c r="C11">
        <f>AVERAGEIFS(Transactions!K:K, Transactions!D:D, A11,Transactions!J:J, B11)</f>
        <v>2192.6914931604374</v>
      </c>
      <c r="D11" t="s">
        <v>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EE329-4DDC-4DB3-AD0C-98FDD1CB3E32}">
  <dimension ref="A1:F38"/>
  <sheetViews>
    <sheetView topLeftCell="A12" workbookViewId="0">
      <selection activeCell="Q26" sqref="Q26"/>
    </sheetView>
  </sheetViews>
  <sheetFormatPr defaultRowHeight="15" x14ac:dyDescent="0.25"/>
  <cols>
    <col min="1" max="1" width="17.42578125" bestFit="1" customWidth="1"/>
    <col min="2" max="2" width="16.28515625" bestFit="1" customWidth="1"/>
    <col min="3" max="5" width="11.140625" bestFit="1" customWidth="1"/>
    <col min="6" max="6" width="11.28515625" bestFit="1" customWidth="1"/>
  </cols>
  <sheetData>
    <row r="1" spans="1:6" x14ac:dyDescent="0.25">
      <c r="A1" s="7" t="s">
        <v>109</v>
      </c>
      <c r="B1" s="7" t="s">
        <v>110</v>
      </c>
    </row>
    <row r="2" spans="1:6" x14ac:dyDescent="0.25">
      <c r="A2" s="7" t="s">
        <v>107</v>
      </c>
      <c r="B2" t="s">
        <v>94</v>
      </c>
      <c r="C2" t="s">
        <v>93</v>
      </c>
      <c r="D2" t="s">
        <v>95</v>
      </c>
      <c r="E2" t="s">
        <v>96</v>
      </c>
      <c r="F2" t="s">
        <v>108</v>
      </c>
    </row>
    <row r="3" spans="1:6" x14ac:dyDescent="0.25">
      <c r="A3" s="8" t="s">
        <v>14</v>
      </c>
      <c r="B3" s="3">
        <v>48639.245153844036</v>
      </c>
      <c r="C3" s="3">
        <v>36473.430398397933</v>
      </c>
      <c r="D3" s="3">
        <v>37267.108116524163</v>
      </c>
      <c r="E3" s="3">
        <v>43156.036590310039</v>
      </c>
      <c r="F3" s="3">
        <v>165535.82025907616</v>
      </c>
    </row>
    <row r="4" spans="1:6" x14ac:dyDescent="0.25">
      <c r="A4" s="8" t="s">
        <v>31</v>
      </c>
      <c r="B4" s="3">
        <v>56082.149716278982</v>
      </c>
      <c r="C4" s="3">
        <v>20854.72176865728</v>
      </c>
      <c r="D4" s="3">
        <v>46297.369235503924</v>
      </c>
      <c r="E4" s="3">
        <v>43672.997129783995</v>
      </c>
      <c r="F4" s="3">
        <v>166907.23785022419</v>
      </c>
    </row>
    <row r="5" spans="1:6" x14ac:dyDescent="0.25">
      <c r="A5" s="8" t="s">
        <v>25</v>
      </c>
      <c r="B5" s="3">
        <v>54876.708263265886</v>
      </c>
      <c r="C5" s="3">
        <v>39041.618178679375</v>
      </c>
      <c r="D5" s="3">
        <v>79348.33777246844</v>
      </c>
      <c r="E5" s="3">
        <v>46355.243984873559</v>
      </c>
      <c r="F5" s="3">
        <v>219621.90819928725</v>
      </c>
    </row>
    <row r="6" spans="1:6" x14ac:dyDescent="0.25">
      <c r="A6" s="8" t="s">
        <v>12</v>
      </c>
      <c r="B6" s="3">
        <v>53232.95777769063</v>
      </c>
      <c r="C6" s="3">
        <v>22010.288081919669</v>
      </c>
      <c r="D6" s="3">
        <v>64097.925887722464</v>
      </c>
      <c r="E6" s="3">
        <v>79041.436821178751</v>
      </c>
      <c r="F6" s="3">
        <v>218382.6085685115</v>
      </c>
    </row>
    <row r="7" spans="1:6" x14ac:dyDescent="0.25">
      <c r="A7" s="8" t="s">
        <v>108</v>
      </c>
      <c r="B7" s="3">
        <v>212831.06091107955</v>
      </c>
      <c r="C7" s="3">
        <v>118380.05842765426</v>
      </c>
      <c r="D7" s="3">
        <v>227010.74101221899</v>
      </c>
      <c r="E7" s="3">
        <v>212225.71452614636</v>
      </c>
      <c r="F7" s="3">
        <v>770447.57487709913</v>
      </c>
    </row>
    <row r="17" spans="2:3" x14ac:dyDescent="0.25">
      <c r="B17" s="7" t="s">
        <v>107</v>
      </c>
      <c r="C17" t="s">
        <v>109</v>
      </c>
    </row>
    <row r="18" spans="2:3" x14ac:dyDescent="0.25">
      <c r="B18" s="8" t="s">
        <v>30</v>
      </c>
      <c r="C18" s="3">
        <v>34812.94266806393</v>
      </c>
    </row>
    <row r="19" spans="2:3" x14ac:dyDescent="0.25">
      <c r="B19" s="8" t="s">
        <v>27</v>
      </c>
      <c r="C19" s="3">
        <v>63848.04566950514</v>
      </c>
    </row>
    <row r="20" spans="2:3" x14ac:dyDescent="0.25">
      <c r="B20" s="8" t="s">
        <v>44</v>
      </c>
      <c r="C20" s="3">
        <v>21909.153829065384</v>
      </c>
    </row>
    <row r="21" spans="2:3" x14ac:dyDescent="0.25">
      <c r="B21" s="8" t="s">
        <v>11</v>
      </c>
      <c r="C21" s="3">
        <v>28623.17452865759</v>
      </c>
    </row>
    <row r="22" spans="2:3" x14ac:dyDescent="0.25">
      <c r="B22" s="8" t="s">
        <v>36</v>
      </c>
      <c r="C22" s="3">
        <v>38962.106407449814</v>
      </c>
    </row>
    <row r="23" spans="2:3" x14ac:dyDescent="0.25">
      <c r="B23" s="8" t="s">
        <v>74</v>
      </c>
      <c r="C23" s="3">
        <v>29700.489833698539</v>
      </c>
    </row>
    <row r="24" spans="2:3" x14ac:dyDescent="0.25">
      <c r="B24" s="8" t="s">
        <v>51</v>
      </c>
      <c r="C24" s="3">
        <v>28848.094918179424</v>
      </c>
    </row>
    <row r="25" spans="2:3" x14ac:dyDescent="0.25">
      <c r="B25" s="8" t="s">
        <v>18</v>
      </c>
      <c r="C25" s="3">
        <v>26200.518722482084</v>
      </c>
    </row>
    <row r="26" spans="2:3" x14ac:dyDescent="0.25">
      <c r="B26" s="8" t="s">
        <v>22</v>
      </c>
      <c r="C26" s="3">
        <v>51754.34514017</v>
      </c>
    </row>
    <row r="27" spans="2:3" x14ac:dyDescent="0.25">
      <c r="B27" s="8" t="s">
        <v>61</v>
      </c>
      <c r="C27" s="3">
        <v>24490.027370960441</v>
      </c>
    </row>
    <row r="28" spans="2:3" x14ac:dyDescent="0.25">
      <c r="B28" s="8" t="s">
        <v>40</v>
      </c>
      <c r="C28" s="3">
        <v>41147.062715134445</v>
      </c>
    </row>
    <row r="29" spans="2:3" x14ac:dyDescent="0.25">
      <c r="B29" s="8" t="s">
        <v>47</v>
      </c>
      <c r="C29" s="3">
        <v>37848.969689644306</v>
      </c>
    </row>
    <row r="30" spans="2:3" x14ac:dyDescent="0.25">
      <c r="B30" s="8" t="s">
        <v>59</v>
      </c>
      <c r="C30" s="3">
        <v>48394.569860448326</v>
      </c>
    </row>
    <row r="31" spans="2:3" x14ac:dyDescent="0.25">
      <c r="B31" s="8" t="s">
        <v>34</v>
      </c>
      <c r="C31" s="3">
        <v>31507.665998434575</v>
      </c>
    </row>
    <row r="32" spans="2:3" x14ac:dyDescent="0.25">
      <c r="B32" s="8" t="s">
        <v>52</v>
      </c>
      <c r="C32" s="3">
        <v>23169.695616732257</v>
      </c>
    </row>
    <row r="33" spans="2:3" x14ac:dyDescent="0.25">
      <c r="B33" s="8" t="s">
        <v>24</v>
      </c>
      <c r="C33" s="3">
        <v>31554.404610707501</v>
      </c>
    </row>
    <row r="34" spans="2:3" x14ac:dyDescent="0.25">
      <c r="B34" s="8" t="s">
        <v>20</v>
      </c>
      <c r="C34" s="3">
        <v>45025.505931385604</v>
      </c>
    </row>
    <row r="35" spans="2:3" x14ac:dyDescent="0.25">
      <c r="B35" s="8" t="s">
        <v>38</v>
      </c>
      <c r="C35" s="3">
        <v>29991.285925599099</v>
      </c>
    </row>
    <row r="36" spans="2:3" x14ac:dyDescent="0.25">
      <c r="B36" s="8" t="s">
        <v>43</v>
      </c>
      <c r="C36" s="3">
        <v>54030.794052292746</v>
      </c>
    </row>
    <row r="37" spans="2:3" x14ac:dyDescent="0.25">
      <c r="B37" s="8" t="s">
        <v>16</v>
      </c>
      <c r="C37" s="3">
        <v>47163.821437085717</v>
      </c>
    </row>
    <row r="38" spans="2:3" x14ac:dyDescent="0.25">
      <c r="B38" s="8" t="s">
        <v>108</v>
      </c>
      <c r="C38" s="3">
        <v>738982.67492569692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eview xmlns="c6c77d8f-09f6-4e2b-8f47-31ad1c0144f5" xsi:nil="true"/>
    <lcf76f155ced4ddcb4097134ff3c332f xmlns="c6c77d8f-09f6-4e2b-8f47-31ad1c0144f5">
      <Terms xmlns="http://schemas.microsoft.com/office/infopath/2007/PartnerControls"/>
    </lcf76f155ced4ddcb4097134ff3c332f>
    <TaxCatchAll xmlns="146bd9e1-3fdb-4f50-9526-c68c2343cb8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773663AEC73F64CB9310C74F592BBA1" ma:contentTypeVersion="19" ma:contentTypeDescription="Create a new document." ma:contentTypeScope="" ma:versionID="78f8910ad191faf25b698c7883bd4574">
  <xsd:schema xmlns:xsd="http://www.w3.org/2001/XMLSchema" xmlns:xs="http://www.w3.org/2001/XMLSchema" xmlns:p="http://schemas.microsoft.com/office/2006/metadata/properties" xmlns:ns2="c6c77d8f-09f6-4e2b-8f47-31ad1c0144f5" xmlns:ns3="146bd9e1-3fdb-4f50-9526-c68c2343cb8e" targetNamespace="http://schemas.microsoft.com/office/2006/metadata/properties" ma:root="true" ma:fieldsID="119e52f1903d5b0654b44c1268375821" ns2:_="" ns3:_="">
    <xsd:import namespace="c6c77d8f-09f6-4e2b-8f47-31ad1c0144f5"/>
    <xsd:import namespace="146bd9e1-3fdb-4f50-9526-c68c2343cb8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Preview"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c77d8f-09f6-4e2b-8f47-31ad1c0144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Preview" ma:index="21" nillable="true" ma:displayName="Preview" ma:format="Thumbnail" ma:internalName="Preview">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6a8cab3b-d731-4175-bae6-7d60d1a2576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6bd9e1-3fdb-4f50-9526-c68c2343cb8e"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2da5034-1a9c-45fa-ab74-54df4df1541d}" ma:internalName="TaxCatchAll" ma:showField="CatchAllData" ma:web="146bd9e1-3fdb-4f50-9526-c68c2343cb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BCEE86-C63D-4FD7-ACA6-864741C752E6}">
  <ds:schemaRefs>
    <ds:schemaRef ds:uri="http://schemas.microsoft.com/office/2006/metadata/properties"/>
    <ds:schemaRef ds:uri="http://schemas.microsoft.com/office/infopath/2007/PartnerControls"/>
    <ds:schemaRef ds:uri="c6c77d8f-09f6-4e2b-8f47-31ad1c0144f5"/>
    <ds:schemaRef ds:uri="146bd9e1-3fdb-4f50-9526-c68c2343cb8e"/>
  </ds:schemaRefs>
</ds:datastoreItem>
</file>

<file path=customXml/itemProps2.xml><?xml version="1.0" encoding="utf-8"?>
<ds:datastoreItem xmlns:ds="http://schemas.openxmlformats.org/officeDocument/2006/customXml" ds:itemID="{7403E642-7338-41D0-8533-C9320E862CD2}">
  <ds:schemaRefs>
    <ds:schemaRef ds:uri="http://schemas.microsoft.com/sharepoint/v3/contenttype/forms"/>
  </ds:schemaRefs>
</ds:datastoreItem>
</file>

<file path=customXml/itemProps3.xml><?xml version="1.0" encoding="utf-8"?>
<ds:datastoreItem xmlns:ds="http://schemas.openxmlformats.org/officeDocument/2006/customXml" ds:itemID="{F14CB2CA-87CC-42B0-A575-1903A5940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c77d8f-09f6-4e2b-8f47-31ad1c0144f5"/>
    <ds:schemaRef ds:uri="146bd9e1-3fdb-4f50-9526-c68c2343cb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Transactions</vt:lpstr>
      <vt:lpstr>State-Regions</vt:lpstr>
      <vt:lpstr>Excel-Functions</vt:lpstr>
      <vt:lpstr>PivotTables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VB-Zimmerman-Gibson, Joshua (Virginia Beach)</cp:lastModifiedBy>
  <cp:revision/>
  <dcterms:created xsi:type="dcterms:W3CDTF">2024-01-30T09:56:07Z</dcterms:created>
  <dcterms:modified xsi:type="dcterms:W3CDTF">2026-03-11T22:51:25Z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0x0101009773663AEC73F64CB9310C74F592BBA1</vt:lpwstr>
  </property>
  <property fmtid="{D5CDD505-2E9C-101B-9397-08002B2CF9AE}" pid="3" name="MediaServiceImageTags">
    <vt:lpwstr/>
  </property>
</Properties>
</file>